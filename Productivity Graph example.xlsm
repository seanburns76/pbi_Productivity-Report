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SeaBur\GitCentral\pbi_Productivity\"/>
    </mc:Choice>
  </mc:AlternateContent>
  <bookViews>
    <workbookView xWindow="0" yWindow="0" windowWidth="23040" windowHeight="9405" firstSheet="1" activeTab="2"/>
  </bookViews>
  <sheets>
    <sheet name="PC% - AEH" sheetId="5" state="hidden" r:id="rId1"/>
    <sheet name="Ameristar Prod Measure" sheetId="11" r:id="rId2"/>
    <sheet name="Sheet1" sheetId="13" r:id="rId3"/>
    <sheet name="2017 Ameristar Prod Measure" sheetId="12" r:id="rId4"/>
    <sheet name="PC% - AAG" sheetId="3" state="hidden" r:id="rId5"/>
    <sheet name="PC$- AEH" sheetId="8" state="hidden" r:id="rId6"/>
    <sheet name="PC$- SAR" sheetId="9" state="hidden" r:id="rId7"/>
    <sheet name="PC$ - Belin" sheetId="10" state="hidden" r:id="rId8"/>
    <sheet name="PC$ - AAG" sheetId="4" state="hidden" r:id="rId9"/>
    <sheet name="No Std Cost" sheetId="2" state="hidden" r:id="rId10"/>
  </sheets>
  <definedNames>
    <definedName name="_xlnm.Print_Area" localSheetId="3">'2017 Ameristar Prod Measure'!$B$62:$T$97</definedName>
    <definedName name="_xlnm.Print_Area" localSheetId="1">'Ameristar Prod Measure'!$B$62:$T$97</definedName>
  </definedNames>
  <calcPr calcId="162913"/>
</workbook>
</file>

<file path=xl/calcChain.xml><?xml version="1.0" encoding="utf-8"?>
<calcChain xmlns="http://schemas.openxmlformats.org/spreadsheetml/2006/main">
  <c r="U1" i="13" l="1"/>
  <c r="S1" i="13"/>
  <c r="Q1" i="13"/>
  <c r="AD9" i="11" l="1"/>
  <c r="AD8" i="11"/>
  <c r="AD7" i="11"/>
  <c r="AC7" i="11" l="1"/>
  <c r="V9" i="11" l="1"/>
  <c r="V8" i="11"/>
  <c r="V7" i="11"/>
  <c r="U8" i="11" l="1"/>
  <c r="U7" i="11"/>
  <c r="Q8" i="11" l="1"/>
  <c r="Q7" i="11"/>
  <c r="BF4" i="12" l="1"/>
  <c r="B21" i="11" l="1"/>
  <c r="E9" i="11" l="1"/>
  <c r="E8" i="11"/>
  <c r="E7" i="11"/>
  <c r="H21" i="12" l="1"/>
  <c r="G21" i="12"/>
  <c r="F21" i="12"/>
  <c r="E21" i="12"/>
  <c r="D21" i="12"/>
  <c r="C21" i="12"/>
  <c r="B21" i="12"/>
  <c r="BA11" i="12"/>
  <c r="AW11" i="12"/>
  <c r="AS11" i="12"/>
  <c r="AO11" i="12"/>
  <c r="AK11" i="12"/>
  <c r="AG11" i="12"/>
  <c r="AC11" i="12"/>
  <c r="Y11" i="12"/>
  <c r="U11" i="12"/>
  <c r="Q11" i="12"/>
  <c r="M11" i="12"/>
  <c r="I11" i="12"/>
  <c r="BA9" i="12"/>
  <c r="AW9" i="12"/>
  <c r="AV9" i="12"/>
  <c r="AO9" i="12"/>
  <c r="AN9" i="12"/>
  <c r="AG9" i="12"/>
  <c r="AC9" i="12"/>
  <c r="U9" i="12"/>
  <c r="H9" i="12"/>
  <c r="BA8" i="12"/>
  <c r="AW8" i="12"/>
  <c r="AV8" i="12"/>
  <c r="AO8" i="12"/>
  <c r="AN8" i="12"/>
  <c r="AG8" i="12"/>
  <c r="AC8" i="12"/>
  <c r="U8" i="12"/>
  <c r="H8" i="12"/>
  <c r="BA7" i="12"/>
  <c r="AW7" i="12"/>
  <c r="AW5" i="12" s="1"/>
  <c r="AV7" i="12"/>
  <c r="AO7" i="12"/>
  <c r="AN7" i="12"/>
  <c r="AG7" i="12"/>
  <c r="AC7" i="12"/>
  <c r="AB7" i="12"/>
  <c r="Y7" i="12"/>
  <c r="Y5" i="12" s="1"/>
  <c r="U7" i="12"/>
  <c r="P7" i="12"/>
  <c r="P5" i="12" s="1"/>
  <c r="P13" i="12" s="1"/>
  <c r="L7" i="12"/>
  <c r="H7" i="12"/>
  <c r="BD5" i="12"/>
  <c r="BD13" i="12" s="1"/>
  <c r="BC5" i="12"/>
  <c r="BC13" i="12" s="1"/>
  <c r="BB5" i="12"/>
  <c r="BB13" i="12" s="1"/>
  <c r="AZ5" i="12"/>
  <c r="AZ13" i="12" s="1"/>
  <c r="AY5" i="12"/>
  <c r="AY13" i="12" s="1"/>
  <c r="AX5" i="12"/>
  <c r="AX13" i="12" s="1"/>
  <c r="AU5" i="12"/>
  <c r="AU13" i="12" s="1"/>
  <c r="AT5" i="12"/>
  <c r="AT13" i="12" s="1"/>
  <c r="AS5" i="12"/>
  <c r="AR5" i="12"/>
  <c r="AR13" i="12" s="1"/>
  <c r="AQ5" i="12"/>
  <c r="AQ13" i="12" s="1"/>
  <c r="AP5" i="12"/>
  <c r="AP13" i="12" s="1"/>
  <c r="AM5" i="12"/>
  <c r="AM13" i="12" s="1"/>
  <c r="AL5" i="12"/>
  <c r="AL13" i="12" s="1"/>
  <c r="AK5" i="12"/>
  <c r="AJ5" i="12"/>
  <c r="AJ13" i="12" s="1"/>
  <c r="AI5" i="12"/>
  <c r="AI13" i="12" s="1"/>
  <c r="AH5" i="12"/>
  <c r="AH13" i="12" s="1"/>
  <c r="AF5" i="12"/>
  <c r="AF13" i="12" s="1"/>
  <c r="AE5" i="12"/>
  <c r="AE13" i="12" s="1"/>
  <c r="AD5" i="12"/>
  <c r="AD13" i="12" s="1"/>
  <c r="AB5" i="12"/>
  <c r="AB13" i="12" s="1"/>
  <c r="AA5" i="12"/>
  <c r="AA13" i="12" s="1"/>
  <c r="Z5" i="12"/>
  <c r="Z13" i="12" s="1"/>
  <c r="X5" i="12"/>
  <c r="X13" i="12" s="1"/>
  <c r="W5" i="12"/>
  <c r="W13" i="12" s="1"/>
  <c r="V5" i="12"/>
  <c r="V13" i="12" s="1"/>
  <c r="T5" i="12"/>
  <c r="T13" i="12" s="1"/>
  <c r="S5" i="12"/>
  <c r="S13" i="12" s="1"/>
  <c r="R5" i="12"/>
  <c r="R13" i="12" s="1"/>
  <c r="Q5" i="12"/>
  <c r="O5" i="12"/>
  <c r="O13" i="12" s="1"/>
  <c r="N5" i="12"/>
  <c r="N13" i="12" s="1"/>
  <c r="M5" i="12"/>
  <c r="L5" i="12"/>
  <c r="L13" i="12" s="1"/>
  <c r="K5" i="12"/>
  <c r="K13" i="12" s="1"/>
  <c r="J5" i="12"/>
  <c r="J13" i="12" s="1"/>
  <c r="I5" i="12"/>
  <c r="G5" i="12"/>
  <c r="G19" i="12" s="1"/>
  <c r="F5" i="12"/>
  <c r="F13" i="12" s="1"/>
  <c r="F16" i="12" s="1"/>
  <c r="F22" i="12" s="1"/>
  <c r="E5" i="12"/>
  <c r="D5" i="12"/>
  <c r="D19" i="12" s="1"/>
  <c r="C5" i="12"/>
  <c r="C19" i="12" s="1"/>
  <c r="B5" i="12"/>
  <c r="BA5" i="12" l="1"/>
  <c r="C22" i="12"/>
  <c r="F20" i="12"/>
  <c r="U5" i="12"/>
  <c r="U13" i="12" s="1"/>
  <c r="AO5" i="12"/>
  <c r="Q19" i="12" s="1"/>
  <c r="C13" i="12"/>
  <c r="C16" i="12" s="1"/>
  <c r="H5" i="12"/>
  <c r="H13" i="12" s="1"/>
  <c r="AN5" i="12"/>
  <c r="AN13" i="12" s="1"/>
  <c r="F19" i="12"/>
  <c r="D20" i="12"/>
  <c r="AV5" i="12"/>
  <c r="AV13" i="12" s="1"/>
  <c r="D22" i="12"/>
  <c r="D14" i="12"/>
  <c r="AG5" i="12"/>
  <c r="O19" i="12" s="1"/>
  <c r="AC5" i="12"/>
  <c r="AC13" i="12" s="1"/>
  <c r="G13" i="12"/>
  <c r="G16" i="12" s="1"/>
  <c r="G22" i="12" s="1"/>
  <c r="C20" i="12"/>
  <c r="H14" i="12"/>
  <c r="B19" i="12"/>
  <c r="B20" i="12" s="1"/>
  <c r="M19" i="12"/>
  <c r="Y13" i="12"/>
  <c r="AG13" i="12"/>
  <c r="T19" i="12"/>
  <c r="BA13" i="12"/>
  <c r="AS13" i="12"/>
  <c r="I19" i="12"/>
  <c r="I13" i="12"/>
  <c r="M13" i="12"/>
  <c r="J19" i="12"/>
  <c r="Q13" i="12"/>
  <c r="K19" i="12"/>
  <c r="AK13" i="12"/>
  <c r="AW13" i="12"/>
  <c r="S19" i="12"/>
  <c r="E19" i="12"/>
  <c r="E13" i="12"/>
  <c r="E16" i="12" s="1"/>
  <c r="E22" i="12" s="1"/>
  <c r="G20" i="12"/>
  <c r="H20" i="12"/>
  <c r="D13" i="12"/>
  <c r="D16" i="12" s="1"/>
  <c r="E14" i="12"/>
  <c r="B14" i="12"/>
  <c r="F14" i="12"/>
  <c r="E20" i="12"/>
  <c r="B13" i="12"/>
  <c r="B16" i="12" s="1"/>
  <c r="C14" i="12"/>
  <c r="G14" i="12"/>
  <c r="L19" i="12" l="1"/>
  <c r="H19" i="12"/>
  <c r="H22" i="12" s="1"/>
  <c r="P19" i="12"/>
  <c r="AO13" i="12"/>
  <c r="R19" i="12"/>
  <c r="N19" i="12"/>
  <c r="B22" i="12"/>
  <c r="BF5" i="12"/>
  <c r="BF6" i="12" s="1"/>
  <c r="H16" i="12"/>
  <c r="I15" i="12"/>
  <c r="I16" i="12" s="1"/>
  <c r="J15" i="12" l="1"/>
  <c r="I21" i="12"/>
  <c r="I14" i="12"/>
  <c r="J21" i="12" l="1"/>
  <c r="I22" i="12"/>
  <c r="I20" i="12"/>
  <c r="K15" i="12"/>
  <c r="J14" i="12"/>
  <c r="J16" i="12"/>
  <c r="K14" i="12" l="1"/>
  <c r="L15" i="12"/>
  <c r="K16" i="12"/>
  <c r="K21" i="12"/>
  <c r="J20" i="12"/>
  <c r="J22" i="12"/>
  <c r="K20" i="12" l="1"/>
  <c r="L21" i="12"/>
  <c r="K22" i="12"/>
  <c r="M15" i="12"/>
  <c r="L14" i="12"/>
  <c r="L16" i="12"/>
  <c r="AQ5" i="11"/>
  <c r="AQ13" i="11" s="1"/>
  <c r="N15" i="12" l="1"/>
  <c r="M14" i="12"/>
  <c r="M16" i="12"/>
  <c r="M21" i="12"/>
  <c r="L20" i="12"/>
  <c r="L22" i="12"/>
  <c r="N21" i="12" l="1"/>
  <c r="M20" i="12"/>
  <c r="M22" i="12"/>
  <c r="O15" i="12"/>
  <c r="N14" i="12"/>
  <c r="N16" i="12"/>
  <c r="O14" i="12" l="1"/>
  <c r="P15" i="12"/>
  <c r="O16" i="12"/>
  <c r="O21" i="12"/>
  <c r="N20" i="12"/>
  <c r="N22" i="12"/>
  <c r="P21" i="12" l="1"/>
  <c r="O20" i="12"/>
  <c r="O22" i="12"/>
  <c r="Q15" i="12"/>
  <c r="P14" i="12"/>
  <c r="P16" i="12"/>
  <c r="R15" i="12" l="1"/>
  <c r="Q14" i="12"/>
  <c r="Q16" i="12"/>
  <c r="Q21" i="12"/>
  <c r="P20" i="12"/>
  <c r="P22" i="12"/>
  <c r="R21" i="12" l="1"/>
  <c r="Q20" i="12"/>
  <c r="Q22" i="12"/>
  <c r="S15" i="12"/>
  <c r="R14" i="12"/>
  <c r="R16" i="12"/>
  <c r="S14" i="12" l="1"/>
  <c r="T15" i="12"/>
  <c r="S16" i="12"/>
  <c r="S21" i="12"/>
  <c r="R20" i="12"/>
  <c r="R22" i="12"/>
  <c r="T21" i="12" l="1"/>
  <c r="S20" i="12"/>
  <c r="S22" i="12"/>
  <c r="U15" i="12"/>
  <c r="T14" i="12"/>
  <c r="T16" i="12"/>
  <c r="V15" i="12" l="1"/>
  <c r="U14" i="12"/>
  <c r="U16" i="12"/>
  <c r="T20" i="12"/>
  <c r="T22" i="12"/>
  <c r="W15" i="12" l="1"/>
  <c r="V14" i="12"/>
  <c r="V16" i="12"/>
  <c r="AW5" i="11"/>
  <c r="AW13" i="11" s="1"/>
  <c r="AV5" i="11"/>
  <c r="AV13" i="11" s="1"/>
  <c r="AU5" i="11"/>
  <c r="AU13" i="11" s="1"/>
  <c r="AT5" i="11"/>
  <c r="AT13" i="11" s="1"/>
  <c r="AS5" i="11"/>
  <c r="AS13" i="11" s="1"/>
  <c r="AR5" i="11"/>
  <c r="AR13" i="11" s="1"/>
  <c r="AP5" i="11"/>
  <c r="AP13" i="11" s="1"/>
  <c r="AO5" i="11"/>
  <c r="AO13" i="11" s="1"/>
  <c r="AN5" i="11"/>
  <c r="AN13" i="11" s="1"/>
  <c r="AM5" i="11"/>
  <c r="AM13" i="11" s="1"/>
  <c r="AL5" i="11"/>
  <c r="AL13" i="11" s="1"/>
  <c r="AK5" i="11"/>
  <c r="AK13" i="11" s="1"/>
  <c r="AJ5" i="11"/>
  <c r="AJ13" i="11" s="1"/>
  <c r="AI5" i="11"/>
  <c r="AI13" i="11" s="1"/>
  <c r="AH5" i="11"/>
  <c r="AH13" i="11" s="1"/>
  <c r="AG5" i="11"/>
  <c r="AG13" i="11" s="1"/>
  <c r="AF5" i="11"/>
  <c r="AF13" i="11" s="1"/>
  <c r="AE5" i="11"/>
  <c r="AE13" i="11" s="1"/>
  <c r="AD5" i="11"/>
  <c r="AD13" i="11" s="1"/>
  <c r="AC5" i="11"/>
  <c r="AC13" i="11" s="1"/>
  <c r="AB5" i="11"/>
  <c r="AB13" i="11" s="1"/>
  <c r="AA5" i="11"/>
  <c r="AA13" i="11" s="1"/>
  <c r="Y5" i="11"/>
  <c r="Y13" i="11" s="1"/>
  <c r="X5" i="11"/>
  <c r="X13" i="11" s="1"/>
  <c r="W5" i="11"/>
  <c r="W13" i="11" s="1"/>
  <c r="T5" i="11"/>
  <c r="T13" i="11" s="1"/>
  <c r="S5" i="11"/>
  <c r="S13" i="11" s="1"/>
  <c r="U5" i="11"/>
  <c r="U13" i="11" s="1"/>
  <c r="R5" i="11"/>
  <c r="R13" i="11" s="1"/>
  <c r="F19" i="11" l="1"/>
  <c r="W14" i="12"/>
  <c r="X15" i="12"/>
  <c r="W16" i="12"/>
  <c r="K19" i="11"/>
  <c r="M19" i="11"/>
  <c r="L19" i="11"/>
  <c r="J19" i="11"/>
  <c r="I19" i="11"/>
  <c r="Z5" i="11"/>
  <c r="V5" i="11"/>
  <c r="G19" i="11" l="1"/>
  <c r="V13" i="11"/>
  <c r="H19" i="11"/>
  <c r="Z13" i="11"/>
  <c r="Y15" i="12"/>
  <c r="X14" i="12"/>
  <c r="X16" i="12"/>
  <c r="Q5" i="11"/>
  <c r="Q13" i="11" s="1"/>
  <c r="P5" i="11"/>
  <c r="P13" i="11" s="1"/>
  <c r="O5" i="11"/>
  <c r="O13" i="11" s="1"/>
  <c r="Z15" i="12" l="1"/>
  <c r="Y14" i="12"/>
  <c r="Y16" i="12"/>
  <c r="N5" i="11"/>
  <c r="M5" i="11"/>
  <c r="M13" i="11" s="1"/>
  <c r="L5" i="11"/>
  <c r="L13" i="11" s="1"/>
  <c r="K5" i="11"/>
  <c r="K13" i="11" s="1"/>
  <c r="J5" i="11"/>
  <c r="H5" i="11"/>
  <c r="H13" i="11" s="1"/>
  <c r="G5" i="11"/>
  <c r="G13" i="11" s="1"/>
  <c r="F5" i="11"/>
  <c r="N13" i="11" l="1"/>
  <c r="E19" i="11"/>
  <c r="D19" i="11"/>
  <c r="J13" i="11"/>
  <c r="F13" i="11"/>
  <c r="AA15" i="12"/>
  <c r="Z14" i="12"/>
  <c r="Z16" i="12"/>
  <c r="AA14" i="12" l="1"/>
  <c r="AB15" i="12"/>
  <c r="AA16" i="12"/>
  <c r="E5" i="11"/>
  <c r="E13" i="11" s="1"/>
  <c r="D5" i="11"/>
  <c r="C5" i="11"/>
  <c r="C13" i="11" s="1"/>
  <c r="B5" i="11"/>
  <c r="D13" i="11" l="1"/>
  <c r="B14" i="11"/>
  <c r="B19" i="11"/>
  <c r="B13" i="11"/>
  <c r="B16" i="11" s="1"/>
  <c r="AC15" i="12"/>
  <c r="AB14" i="12"/>
  <c r="AB16" i="12"/>
  <c r="I5" i="11"/>
  <c r="I13" i="11" l="1"/>
  <c r="C19" i="11"/>
  <c r="B22" i="11"/>
  <c r="B20" i="11"/>
  <c r="AD15" i="12"/>
  <c r="AC14" i="12"/>
  <c r="AC16" i="12"/>
  <c r="AT11" i="11"/>
  <c r="AP11" i="11"/>
  <c r="AL11" i="11"/>
  <c r="AH11" i="11"/>
  <c r="AD11" i="11"/>
  <c r="Z11" i="11"/>
  <c r="V11" i="11"/>
  <c r="R11" i="11"/>
  <c r="N11" i="11"/>
  <c r="J11" i="11"/>
  <c r="F11" i="11"/>
  <c r="B11" i="11"/>
  <c r="AE15" i="12" l="1"/>
  <c r="AD14" i="12"/>
  <c r="AD16" i="12"/>
  <c r="AE14" i="12" l="1"/>
  <c r="AF15" i="12"/>
  <c r="AE16" i="12"/>
  <c r="AG15" i="12" l="1"/>
  <c r="AF14" i="12"/>
  <c r="AF16" i="12"/>
  <c r="AH15" i="12" l="1"/>
  <c r="AG14" i="12"/>
  <c r="AG16" i="12"/>
  <c r="C15" i="11"/>
  <c r="D15" i="11" l="1"/>
  <c r="C16" i="11"/>
  <c r="C14" i="11"/>
  <c r="AI15" i="12"/>
  <c r="AH14" i="12"/>
  <c r="AH16" i="12"/>
  <c r="E15" i="11" l="1"/>
  <c r="D14" i="11"/>
  <c r="D16" i="11"/>
  <c r="AI14" i="12"/>
  <c r="AJ15" i="12"/>
  <c r="AI16" i="12"/>
  <c r="F15" i="11" l="1"/>
  <c r="E16" i="11"/>
  <c r="E14" i="11"/>
  <c r="AK15" i="12"/>
  <c r="AJ14" i="12"/>
  <c r="AJ16" i="12"/>
  <c r="G15" i="11" l="1"/>
  <c r="F16" i="11"/>
  <c r="F14" i="11"/>
  <c r="AL15" i="12"/>
  <c r="AK14" i="12"/>
  <c r="AK16" i="12"/>
  <c r="C21" i="11"/>
  <c r="H15" i="11" l="1"/>
  <c r="G16" i="11"/>
  <c r="G14" i="11"/>
  <c r="D21" i="11"/>
  <c r="E21" i="11" s="1"/>
  <c r="C22" i="11"/>
  <c r="C20" i="11"/>
  <c r="AM15" i="12"/>
  <c r="AL14" i="12"/>
  <c r="AL16" i="12"/>
  <c r="I15" i="11" l="1"/>
  <c r="H16" i="11"/>
  <c r="H14" i="11"/>
  <c r="E22" i="11"/>
  <c r="E20" i="11"/>
  <c r="D22" i="11"/>
  <c r="D20" i="11"/>
  <c r="AM14" i="12"/>
  <c r="AN15" i="12"/>
  <c r="AM16" i="12"/>
  <c r="F21" i="11"/>
  <c r="J15" i="11" l="1"/>
  <c r="I14" i="11"/>
  <c r="I16" i="11"/>
  <c r="F22" i="11"/>
  <c r="F20" i="11"/>
  <c r="AO15" i="12"/>
  <c r="AN14" i="12"/>
  <c r="AN16" i="12"/>
  <c r="G21" i="11"/>
  <c r="K15" i="11" l="1"/>
  <c r="J16" i="11"/>
  <c r="J14" i="11"/>
  <c r="G22" i="11"/>
  <c r="G20" i="11"/>
  <c r="AP15" i="12"/>
  <c r="AO14" i="12"/>
  <c r="AO16" i="12"/>
  <c r="H21" i="11"/>
  <c r="L15" i="11" l="1"/>
  <c r="K16" i="11"/>
  <c r="K14" i="11"/>
  <c r="H22" i="11"/>
  <c r="H20" i="11"/>
  <c r="AQ15" i="12"/>
  <c r="AP14" i="12"/>
  <c r="AP16" i="12"/>
  <c r="I21" i="11"/>
  <c r="I20" i="11" s="1"/>
  <c r="B20" i="10"/>
  <c r="Q18" i="10"/>
  <c r="P18" i="10"/>
  <c r="O18" i="10"/>
  <c r="N18" i="10"/>
  <c r="M18" i="10"/>
  <c r="L18" i="10"/>
  <c r="K18" i="10"/>
  <c r="C13" i="10"/>
  <c r="D13" i="10" s="1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4" i="10"/>
  <c r="Y4" i="10"/>
  <c r="X4" i="10"/>
  <c r="W4" i="10"/>
  <c r="V4" i="10"/>
  <c r="U4" i="10"/>
  <c r="T4" i="10"/>
  <c r="S4" i="10"/>
  <c r="R4" i="10"/>
  <c r="Q4" i="10"/>
  <c r="P4" i="10"/>
  <c r="O4" i="10"/>
  <c r="N4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M11" i="10" s="1"/>
  <c r="L3" i="10"/>
  <c r="L11" i="10" s="1"/>
  <c r="K3" i="10"/>
  <c r="K11" i="10" s="1"/>
  <c r="J3" i="10"/>
  <c r="J11" i="10" s="1"/>
  <c r="I3" i="10"/>
  <c r="I11" i="10" s="1"/>
  <c r="H3" i="10"/>
  <c r="H11" i="10" s="1"/>
  <c r="G3" i="10"/>
  <c r="G11" i="10" s="1"/>
  <c r="F3" i="10"/>
  <c r="E3" i="10"/>
  <c r="E11" i="10" s="1"/>
  <c r="D3" i="10"/>
  <c r="D11" i="10" s="1"/>
  <c r="C3" i="10"/>
  <c r="C11" i="10" s="1"/>
  <c r="B3" i="10"/>
  <c r="B11" i="10" s="1"/>
  <c r="B12" i="10" s="1"/>
  <c r="B20" i="9"/>
  <c r="Q18" i="9"/>
  <c r="P18" i="9"/>
  <c r="O18" i="9"/>
  <c r="N18" i="9"/>
  <c r="M18" i="9"/>
  <c r="L18" i="9"/>
  <c r="K18" i="9"/>
  <c r="C13" i="9"/>
  <c r="D13" i="9" s="1"/>
  <c r="BE11" i="9"/>
  <c r="BD11" i="9"/>
  <c r="BC11" i="9"/>
  <c r="BB11" i="9"/>
  <c r="BA11" i="9"/>
  <c r="AZ11" i="9"/>
  <c r="AY11" i="9"/>
  <c r="AX11" i="9"/>
  <c r="AW11" i="9"/>
  <c r="AV11" i="9"/>
  <c r="AU11" i="9"/>
  <c r="AT11" i="9"/>
  <c r="AS11" i="9"/>
  <c r="AR11" i="9"/>
  <c r="AQ11" i="9"/>
  <c r="AP11" i="9"/>
  <c r="AO11" i="9"/>
  <c r="AN11" i="9"/>
  <c r="AM11" i="9"/>
  <c r="AL11" i="9"/>
  <c r="AK11" i="9"/>
  <c r="AJ11" i="9"/>
  <c r="AI11" i="9"/>
  <c r="AH11" i="9"/>
  <c r="AG11" i="9"/>
  <c r="AF11" i="9"/>
  <c r="AE11" i="9"/>
  <c r="AD11" i="9"/>
  <c r="AC11" i="9"/>
  <c r="AB11" i="9"/>
  <c r="AA11" i="9"/>
  <c r="Z4" i="9"/>
  <c r="Y4" i="9"/>
  <c r="X4" i="9"/>
  <c r="W4" i="9"/>
  <c r="V4" i="9"/>
  <c r="U4" i="9"/>
  <c r="T4" i="9"/>
  <c r="S4" i="9"/>
  <c r="R4" i="9"/>
  <c r="Q4" i="9"/>
  <c r="P4" i="9"/>
  <c r="O4" i="9"/>
  <c r="N4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M11" i="9" s="1"/>
  <c r="L3" i="9"/>
  <c r="L11" i="9" s="1"/>
  <c r="K3" i="9"/>
  <c r="J3" i="9"/>
  <c r="J11" i="9" s="1"/>
  <c r="I3" i="9"/>
  <c r="I11" i="9" s="1"/>
  <c r="H3" i="9"/>
  <c r="H11" i="9" s="1"/>
  <c r="G3" i="9"/>
  <c r="F3" i="9"/>
  <c r="F11" i="9" s="1"/>
  <c r="E3" i="9"/>
  <c r="E11" i="9" s="1"/>
  <c r="D3" i="9"/>
  <c r="D11" i="9" s="1"/>
  <c r="D18" i="9" s="1"/>
  <c r="C3" i="9"/>
  <c r="C11" i="9" s="1"/>
  <c r="B3" i="9"/>
  <c r="B11" i="9" s="1"/>
  <c r="B14" i="9" s="1"/>
  <c r="B20" i="8"/>
  <c r="Q18" i="8"/>
  <c r="P18" i="8"/>
  <c r="O18" i="8"/>
  <c r="N18" i="8"/>
  <c r="M18" i="8"/>
  <c r="L18" i="8"/>
  <c r="K18" i="8"/>
  <c r="C13" i="8"/>
  <c r="D13" i="8" s="1"/>
  <c r="BE11" i="8"/>
  <c r="BD11" i="8"/>
  <c r="BC11" i="8"/>
  <c r="BB11" i="8"/>
  <c r="BA11" i="8"/>
  <c r="AZ11" i="8"/>
  <c r="AY11" i="8"/>
  <c r="AX11" i="8"/>
  <c r="AW11" i="8"/>
  <c r="AV11" i="8"/>
  <c r="AU11" i="8"/>
  <c r="AT11" i="8"/>
  <c r="AS11" i="8"/>
  <c r="AR11" i="8"/>
  <c r="AQ11" i="8"/>
  <c r="AP11" i="8"/>
  <c r="AO11" i="8"/>
  <c r="AN11" i="8"/>
  <c r="AM11" i="8"/>
  <c r="AL11" i="8"/>
  <c r="AK11" i="8"/>
  <c r="AJ11" i="8"/>
  <c r="AI11" i="8"/>
  <c r="AH11" i="8"/>
  <c r="AG11" i="8"/>
  <c r="AF11" i="8"/>
  <c r="AE11" i="8"/>
  <c r="AD11" i="8"/>
  <c r="AC11" i="8"/>
  <c r="AB11" i="8"/>
  <c r="AA11" i="8"/>
  <c r="Z4" i="8"/>
  <c r="Y4" i="8"/>
  <c r="X4" i="8"/>
  <c r="W4" i="8"/>
  <c r="V4" i="8"/>
  <c r="U4" i="8"/>
  <c r="T4" i="8"/>
  <c r="S4" i="8"/>
  <c r="R4" i="8"/>
  <c r="Q4" i="8"/>
  <c r="P4" i="8"/>
  <c r="O4" i="8"/>
  <c r="N4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M11" i="8" s="1"/>
  <c r="L3" i="8"/>
  <c r="L11" i="8" s="1"/>
  <c r="K3" i="8"/>
  <c r="K11" i="8" s="1"/>
  <c r="J3" i="8"/>
  <c r="J11" i="8" s="1"/>
  <c r="I3" i="8"/>
  <c r="I11" i="8" s="1"/>
  <c r="H3" i="8"/>
  <c r="H11" i="8" s="1"/>
  <c r="G3" i="8"/>
  <c r="G11" i="8" s="1"/>
  <c r="F3" i="8"/>
  <c r="E3" i="8"/>
  <c r="E11" i="8" s="1"/>
  <c r="D3" i="8"/>
  <c r="D11" i="8" s="1"/>
  <c r="C3" i="8"/>
  <c r="C11" i="8" s="1"/>
  <c r="B3" i="8"/>
  <c r="B11" i="8" s="1"/>
  <c r="B12" i="8" s="1"/>
  <c r="Q18" i="5"/>
  <c r="P18" i="5"/>
  <c r="O18" i="5"/>
  <c r="N18" i="5"/>
  <c r="M18" i="5"/>
  <c r="L18" i="5"/>
  <c r="K18" i="5"/>
  <c r="G18" i="5"/>
  <c r="F18" i="5"/>
  <c r="BE11" i="5"/>
  <c r="BD11" i="5"/>
  <c r="BC11" i="5"/>
  <c r="BB11" i="5"/>
  <c r="BA11" i="5"/>
  <c r="AZ11" i="5"/>
  <c r="AY11" i="5"/>
  <c r="AX11" i="5"/>
  <c r="AW11" i="5"/>
  <c r="AV11" i="5"/>
  <c r="AU11" i="5"/>
  <c r="AT11" i="5"/>
  <c r="AS11" i="5"/>
  <c r="AR11" i="5"/>
  <c r="AQ11" i="5"/>
  <c r="AP11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M11" i="5"/>
  <c r="L11" i="5"/>
  <c r="K11" i="5"/>
  <c r="J11" i="5"/>
  <c r="I11" i="5"/>
  <c r="H11" i="5"/>
  <c r="G11" i="5"/>
  <c r="F11" i="5"/>
  <c r="E11" i="5"/>
  <c r="D11" i="5"/>
  <c r="D18" i="5" s="1"/>
  <c r="D21" i="5" s="1"/>
  <c r="C11" i="5"/>
  <c r="C18" i="5" s="1"/>
  <c r="C21" i="5" s="1"/>
  <c r="B11" i="5"/>
  <c r="Z4" i="5"/>
  <c r="Z11" i="5" s="1"/>
  <c r="Y4" i="5"/>
  <c r="Y11" i="5" s="1"/>
  <c r="X4" i="5"/>
  <c r="X11" i="5" s="1"/>
  <c r="W4" i="5"/>
  <c r="W11" i="5" s="1"/>
  <c r="V4" i="5"/>
  <c r="V11" i="5" s="1"/>
  <c r="U4" i="5"/>
  <c r="U11" i="5" s="1"/>
  <c r="T4" i="5"/>
  <c r="T11" i="5" s="1"/>
  <c r="S4" i="5"/>
  <c r="S11" i="5" s="1"/>
  <c r="R4" i="5"/>
  <c r="Q4" i="5"/>
  <c r="Q11" i="5" s="1"/>
  <c r="P4" i="5"/>
  <c r="P11" i="5" s="1"/>
  <c r="O4" i="5"/>
  <c r="O11" i="5" s="1"/>
  <c r="N4" i="5"/>
  <c r="M15" i="11" l="1"/>
  <c r="L16" i="11"/>
  <c r="L14" i="11"/>
  <c r="AQ14" i="12"/>
  <c r="AR15" i="12"/>
  <c r="AQ16" i="12"/>
  <c r="U11" i="10"/>
  <c r="J21" i="11"/>
  <c r="I22" i="11"/>
  <c r="D12" i="5"/>
  <c r="R11" i="8"/>
  <c r="Z11" i="8"/>
  <c r="P11" i="9"/>
  <c r="T11" i="9"/>
  <c r="V11" i="10"/>
  <c r="S11" i="8"/>
  <c r="U11" i="9"/>
  <c r="O11" i="10"/>
  <c r="W11" i="10"/>
  <c r="T11" i="8"/>
  <c r="P11" i="10"/>
  <c r="X11" i="10"/>
  <c r="U11" i="8"/>
  <c r="W11" i="9"/>
  <c r="Q11" i="10"/>
  <c r="Y11" i="10"/>
  <c r="F18" i="8"/>
  <c r="V11" i="8"/>
  <c r="E12" i="5"/>
  <c r="O11" i="8"/>
  <c r="Y11" i="9"/>
  <c r="Z11" i="10"/>
  <c r="P11" i="8"/>
  <c r="X11" i="8"/>
  <c r="S11" i="10"/>
  <c r="C20" i="9"/>
  <c r="W11" i="8"/>
  <c r="Q11" i="9"/>
  <c r="R11" i="10"/>
  <c r="Q11" i="8"/>
  <c r="Y11" i="8"/>
  <c r="S11" i="9"/>
  <c r="T11" i="10"/>
  <c r="H18" i="8"/>
  <c r="J18" i="5"/>
  <c r="F18" i="10"/>
  <c r="H18" i="10"/>
  <c r="F18" i="9"/>
  <c r="H18" i="9"/>
  <c r="R11" i="9"/>
  <c r="Z11" i="9"/>
  <c r="N11" i="10"/>
  <c r="F11" i="8"/>
  <c r="F11" i="10"/>
  <c r="N11" i="8"/>
  <c r="G18" i="9"/>
  <c r="N11" i="9"/>
  <c r="V11" i="9"/>
  <c r="I18" i="8"/>
  <c r="I18" i="10"/>
  <c r="D18" i="10"/>
  <c r="D14" i="10"/>
  <c r="C18" i="10"/>
  <c r="C14" i="10"/>
  <c r="E18" i="10"/>
  <c r="E13" i="10"/>
  <c r="E14" i="10" s="1"/>
  <c r="D12" i="10"/>
  <c r="D20" i="10"/>
  <c r="C20" i="10"/>
  <c r="B14" i="10"/>
  <c r="B18" i="10"/>
  <c r="J18" i="10"/>
  <c r="G18" i="10"/>
  <c r="C12" i="10"/>
  <c r="E18" i="9"/>
  <c r="C12" i="9"/>
  <c r="C14" i="9"/>
  <c r="C18" i="9"/>
  <c r="E13" i="9"/>
  <c r="E14" i="9" s="1"/>
  <c r="D12" i="9"/>
  <c r="D20" i="9"/>
  <c r="D14" i="9"/>
  <c r="I18" i="9"/>
  <c r="O11" i="9"/>
  <c r="B12" i="9"/>
  <c r="B18" i="9"/>
  <c r="J18" i="9"/>
  <c r="K11" i="9"/>
  <c r="D21" i="9"/>
  <c r="X11" i="9"/>
  <c r="G11" i="9"/>
  <c r="D18" i="8"/>
  <c r="D14" i="8"/>
  <c r="C18" i="8"/>
  <c r="C14" i="8"/>
  <c r="E18" i="8"/>
  <c r="E13" i="8"/>
  <c r="D12" i="8"/>
  <c r="D20" i="8"/>
  <c r="G18" i="8"/>
  <c r="B14" i="8"/>
  <c r="B18" i="8"/>
  <c r="J18" i="8"/>
  <c r="C20" i="8"/>
  <c r="C12" i="8"/>
  <c r="H18" i="5"/>
  <c r="N11" i="5"/>
  <c r="I18" i="5"/>
  <c r="R11" i="5"/>
  <c r="E14" i="5"/>
  <c r="E18" i="5"/>
  <c r="E21" i="5" s="1"/>
  <c r="B12" i="5"/>
  <c r="B14" i="5"/>
  <c r="B18" i="5"/>
  <c r="C12" i="5"/>
  <c r="C14" i="5"/>
  <c r="D14" i="5"/>
  <c r="C19" i="9" l="1"/>
  <c r="N15" i="11"/>
  <c r="M16" i="11"/>
  <c r="M14" i="11"/>
  <c r="K21" i="11"/>
  <c r="K20" i="11" s="1"/>
  <c r="J20" i="11"/>
  <c r="AS15" i="12"/>
  <c r="AR14" i="12"/>
  <c r="AR16" i="12"/>
  <c r="J22" i="11"/>
  <c r="F13" i="10"/>
  <c r="F20" i="10" s="1"/>
  <c r="C19" i="8"/>
  <c r="D19" i="10"/>
  <c r="C21" i="9"/>
  <c r="C21" i="10"/>
  <c r="F13" i="8"/>
  <c r="G13" i="8" s="1"/>
  <c r="D19" i="8"/>
  <c r="F13" i="9"/>
  <c r="G13" i="9" s="1"/>
  <c r="G14" i="9" s="1"/>
  <c r="C19" i="10"/>
  <c r="B21" i="10"/>
  <c r="B19" i="10"/>
  <c r="E20" i="10"/>
  <c r="E19" i="10" s="1"/>
  <c r="E12" i="10"/>
  <c r="D21" i="10"/>
  <c r="B21" i="9"/>
  <c r="B19" i="9"/>
  <c r="E20" i="9"/>
  <c r="E19" i="9" s="1"/>
  <c r="E12" i="9"/>
  <c r="D19" i="9"/>
  <c r="C21" i="8"/>
  <c r="B21" i="8"/>
  <c r="B19" i="8"/>
  <c r="E20" i="8"/>
  <c r="E19" i="8" s="1"/>
  <c r="E12" i="8"/>
  <c r="E14" i="8"/>
  <c r="D21" i="8"/>
  <c r="D19" i="5"/>
  <c r="C19" i="5"/>
  <c r="B21" i="5"/>
  <c r="B19" i="5"/>
  <c r="E19" i="5"/>
  <c r="F13" i="5"/>
  <c r="L21" i="11" l="1"/>
  <c r="L20" i="11" s="1"/>
  <c r="O15" i="11"/>
  <c r="N16" i="11"/>
  <c r="N14" i="11"/>
  <c r="AT15" i="12"/>
  <c r="AS14" i="12"/>
  <c r="AS16" i="12"/>
  <c r="G13" i="10"/>
  <c r="G14" i="10" s="1"/>
  <c r="F12" i="8"/>
  <c r="M21" i="11"/>
  <c r="M20" i="11" s="1"/>
  <c r="F20" i="8"/>
  <c r="G20" i="8" s="1"/>
  <c r="F14" i="8"/>
  <c r="K22" i="11"/>
  <c r="F12" i="10"/>
  <c r="F14" i="10"/>
  <c r="F12" i="9"/>
  <c r="F14" i="9"/>
  <c r="E21" i="9"/>
  <c r="F20" i="9"/>
  <c r="F21" i="9" s="1"/>
  <c r="E21" i="10"/>
  <c r="G20" i="10"/>
  <c r="F19" i="10"/>
  <c r="F21" i="10"/>
  <c r="H13" i="10"/>
  <c r="H13" i="9"/>
  <c r="G12" i="9"/>
  <c r="E21" i="8"/>
  <c r="H13" i="8"/>
  <c r="G12" i="8"/>
  <c r="G14" i="8"/>
  <c r="G13" i="5"/>
  <c r="F20" i="5"/>
  <c r="F14" i="5"/>
  <c r="F12" i="5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Z4" i="4"/>
  <c r="Y4" i="4"/>
  <c r="X4" i="4"/>
  <c r="W4" i="4"/>
  <c r="V4" i="4"/>
  <c r="U4" i="4"/>
  <c r="T4" i="4"/>
  <c r="S4" i="4"/>
  <c r="R4" i="4"/>
  <c r="Q4" i="4"/>
  <c r="P4" i="4"/>
  <c r="O4" i="4"/>
  <c r="N4" i="4"/>
  <c r="Z4" i="3"/>
  <c r="Y4" i="3"/>
  <c r="X4" i="3"/>
  <c r="W4" i="3"/>
  <c r="V4" i="3"/>
  <c r="U4" i="3"/>
  <c r="T4" i="3"/>
  <c r="S4" i="3"/>
  <c r="R4" i="3"/>
  <c r="Q4" i="3"/>
  <c r="P4" i="3"/>
  <c r="O4" i="3"/>
  <c r="N4" i="3"/>
  <c r="G12" i="10" l="1"/>
  <c r="P15" i="11"/>
  <c r="O16" i="11"/>
  <c r="O14" i="11"/>
  <c r="AU15" i="12"/>
  <c r="AT14" i="12"/>
  <c r="AT16" i="12"/>
  <c r="F19" i="9"/>
  <c r="F21" i="8"/>
  <c r="F19" i="8"/>
  <c r="L22" i="11"/>
  <c r="G20" i="9"/>
  <c r="G21" i="9" s="1"/>
  <c r="H20" i="10"/>
  <c r="G19" i="10"/>
  <c r="G21" i="10"/>
  <c r="I13" i="10"/>
  <c r="H12" i="10"/>
  <c r="H14" i="10"/>
  <c r="I13" i="9"/>
  <c r="H12" i="9"/>
  <c r="H14" i="9"/>
  <c r="H20" i="8"/>
  <c r="G19" i="8"/>
  <c r="G21" i="8"/>
  <c r="I13" i="8"/>
  <c r="H12" i="8"/>
  <c r="H14" i="8"/>
  <c r="G20" i="5"/>
  <c r="F21" i="5"/>
  <c r="F19" i="5"/>
  <c r="H13" i="5"/>
  <c r="G12" i="5"/>
  <c r="G14" i="5"/>
  <c r="Q18" i="3"/>
  <c r="P18" i="3"/>
  <c r="O18" i="3"/>
  <c r="N18" i="3"/>
  <c r="M18" i="3"/>
  <c r="L18" i="3"/>
  <c r="K18" i="3"/>
  <c r="J18" i="3"/>
  <c r="I18" i="3"/>
  <c r="H18" i="3"/>
  <c r="G18" i="3"/>
  <c r="F18" i="3"/>
  <c r="BE11" i="3"/>
  <c r="BD11" i="3"/>
  <c r="BC11" i="3"/>
  <c r="BB11" i="3"/>
  <c r="BA11" i="3"/>
  <c r="AZ11" i="3"/>
  <c r="AY11" i="3"/>
  <c r="AX11" i="3"/>
  <c r="AW11" i="3"/>
  <c r="AV11" i="3"/>
  <c r="AU11" i="3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E18" i="3" s="1"/>
  <c r="E21" i="3" s="1"/>
  <c r="D11" i="3"/>
  <c r="D18" i="3" s="1"/>
  <c r="D21" i="3" s="1"/>
  <c r="C11" i="3"/>
  <c r="C14" i="3" s="1"/>
  <c r="B11" i="3"/>
  <c r="Q18" i="4"/>
  <c r="P18" i="4"/>
  <c r="O18" i="4"/>
  <c r="N18" i="4"/>
  <c r="M18" i="4"/>
  <c r="L18" i="4"/>
  <c r="K18" i="4"/>
  <c r="J18" i="4"/>
  <c r="I18" i="4"/>
  <c r="H18" i="4"/>
  <c r="G18" i="4"/>
  <c r="F18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E11" i="4"/>
  <c r="E18" i="4" s="1"/>
  <c r="D11" i="4"/>
  <c r="D18" i="4" s="1"/>
  <c r="C11" i="4"/>
  <c r="B11" i="4"/>
  <c r="B20" i="4"/>
  <c r="C13" i="4"/>
  <c r="D13" i="4" s="1"/>
  <c r="Q15" i="11" l="1"/>
  <c r="R15" i="11" s="1"/>
  <c r="P16" i="11"/>
  <c r="P14" i="11"/>
  <c r="AU14" i="12"/>
  <c r="AV15" i="12"/>
  <c r="AU16" i="12"/>
  <c r="E14" i="3"/>
  <c r="G19" i="9"/>
  <c r="M22" i="11"/>
  <c r="H20" i="9"/>
  <c r="I20" i="9" s="1"/>
  <c r="B12" i="3"/>
  <c r="E12" i="3"/>
  <c r="C12" i="3"/>
  <c r="D12" i="3"/>
  <c r="J13" i="10"/>
  <c r="I12" i="10"/>
  <c r="I14" i="10"/>
  <c r="I20" i="10"/>
  <c r="H19" i="10"/>
  <c r="H21" i="10"/>
  <c r="J13" i="9"/>
  <c r="I12" i="9"/>
  <c r="I14" i="9"/>
  <c r="J13" i="8"/>
  <c r="I12" i="8"/>
  <c r="I14" i="8"/>
  <c r="I20" i="8"/>
  <c r="H19" i="8"/>
  <c r="H21" i="8"/>
  <c r="H12" i="5"/>
  <c r="I13" i="5"/>
  <c r="H14" i="5"/>
  <c r="H20" i="5"/>
  <c r="G19" i="5"/>
  <c r="G21" i="5"/>
  <c r="D12" i="4"/>
  <c r="B12" i="4"/>
  <c r="C12" i="4"/>
  <c r="D20" i="4"/>
  <c r="D21" i="4" s="1"/>
  <c r="E13" i="4"/>
  <c r="E20" i="4" s="1"/>
  <c r="E21" i="4" s="1"/>
  <c r="C20" i="4"/>
  <c r="C14" i="4"/>
  <c r="D14" i="3"/>
  <c r="C18" i="3"/>
  <c r="C21" i="3" s="1"/>
  <c r="B18" i="3"/>
  <c r="F13" i="3"/>
  <c r="F12" i="3" s="1"/>
  <c r="C18" i="4"/>
  <c r="D14" i="4"/>
  <c r="Q16" i="11" l="1"/>
  <c r="Q14" i="11"/>
  <c r="AW15" i="12"/>
  <c r="AV14" i="12"/>
  <c r="AV16" i="12"/>
  <c r="H21" i="9"/>
  <c r="H19" i="9"/>
  <c r="E14" i="4"/>
  <c r="C21" i="4"/>
  <c r="E12" i="4"/>
  <c r="E19" i="3"/>
  <c r="D19" i="3"/>
  <c r="B19" i="3"/>
  <c r="C19" i="3"/>
  <c r="I19" i="10"/>
  <c r="J20" i="10"/>
  <c r="I21" i="10"/>
  <c r="K13" i="10"/>
  <c r="J12" i="10"/>
  <c r="J14" i="10"/>
  <c r="I19" i="9"/>
  <c r="J20" i="9"/>
  <c r="I21" i="9"/>
  <c r="J12" i="9"/>
  <c r="J14" i="9"/>
  <c r="K13" i="9"/>
  <c r="I19" i="8"/>
  <c r="J20" i="8"/>
  <c r="I21" i="8"/>
  <c r="J12" i="8"/>
  <c r="K13" i="8"/>
  <c r="J14" i="8"/>
  <c r="H19" i="5"/>
  <c r="I20" i="5"/>
  <c r="H21" i="5"/>
  <c r="J13" i="5"/>
  <c r="I12" i="5"/>
  <c r="I14" i="5"/>
  <c r="B21" i="3"/>
  <c r="G13" i="3"/>
  <c r="G12" i="3" s="1"/>
  <c r="F14" i="3"/>
  <c r="F20" i="3"/>
  <c r="S15" i="11" l="1"/>
  <c r="R16" i="11"/>
  <c r="R14" i="11"/>
  <c r="AX15" i="12"/>
  <c r="AW14" i="12"/>
  <c r="AW16" i="12"/>
  <c r="G20" i="3"/>
  <c r="G21" i="3" s="1"/>
  <c r="F19" i="3"/>
  <c r="L13" i="10"/>
  <c r="K12" i="10"/>
  <c r="K14" i="10"/>
  <c r="J19" i="10"/>
  <c r="K20" i="10"/>
  <c r="J21" i="10"/>
  <c r="K12" i="9"/>
  <c r="L13" i="9"/>
  <c r="K14" i="9"/>
  <c r="K20" i="9"/>
  <c r="J19" i="9"/>
  <c r="J21" i="9"/>
  <c r="K20" i="8"/>
  <c r="J19" i="8"/>
  <c r="J21" i="8"/>
  <c r="L13" i="8"/>
  <c r="K12" i="8"/>
  <c r="K14" i="8"/>
  <c r="K13" i="5"/>
  <c r="J12" i="5"/>
  <c r="J14" i="5"/>
  <c r="J20" i="5"/>
  <c r="I19" i="5"/>
  <c r="I21" i="5"/>
  <c r="F21" i="3"/>
  <c r="H13" i="3"/>
  <c r="H12" i="3" s="1"/>
  <c r="G14" i="3"/>
  <c r="C65" i="2"/>
  <c r="B65" i="2"/>
  <c r="C64" i="2"/>
  <c r="B64" i="2"/>
  <c r="C62" i="2"/>
  <c r="B62" i="2"/>
  <c r="T15" i="11" l="1"/>
  <c r="S16" i="11"/>
  <c r="S14" i="11"/>
  <c r="AY15" i="12"/>
  <c r="AX14" i="12"/>
  <c r="AX16" i="12"/>
  <c r="H20" i="3"/>
  <c r="G19" i="3"/>
  <c r="C68" i="2"/>
  <c r="L20" i="10"/>
  <c r="K19" i="10"/>
  <c r="K21" i="10"/>
  <c r="M13" i="10"/>
  <c r="L12" i="10"/>
  <c r="L14" i="10"/>
  <c r="M13" i="9"/>
  <c r="L12" i="9"/>
  <c r="L14" i="9"/>
  <c r="L20" i="9"/>
  <c r="K19" i="9"/>
  <c r="K21" i="9"/>
  <c r="M13" i="8"/>
  <c r="L12" i="8"/>
  <c r="L14" i="8"/>
  <c r="L20" i="8"/>
  <c r="K19" i="8"/>
  <c r="K21" i="8"/>
  <c r="K20" i="5"/>
  <c r="J19" i="5"/>
  <c r="J21" i="5"/>
  <c r="L13" i="5"/>
  <c r="K12" i="5"/>
  <c r="K14" i="5"/>
  <c r="B68" i="2"/>
  <c r="I13" i="3"/>
  <c r="I12" i="3" s="1"/>
  <c r="H14" i="3"/>
  <c r="G65" i="2"/>
  <c r="F65" i="2"/>
  <c r="E65" i="2"/>
  <c r="D65" i="2"/>
  <c r="G64" i="2"/>
  <c r="F64" i="2"/>
  <c r="E64" i="2"/>
  <c r="D64" i="2"/>
  <c r="G62" i="2"/>
  <c r="F62" i="2"/>
  <c r="E62" i="2"/>
  <c r="D62" i="2"/>
  <c r="T16" i="11" l="1"/>
  <c r="U15" i="11"/>
  <c r="T14" i="11"/>
  <c r="AY14" i="12"/>
  <c r="AZ15" i="12"/>
  <c r="AY16" i="12"/>
  <c r="G68" i="2"/>
  <c r="E68" i="2"/>
  <c r="F68" i="2"/>
  <c r="H19" i="3"/>
  <c r="I20" i="3"/>
  <c r="H21" i="3"/>
  <c r="D68" i="2"/>
  <c r="B69" i="2" s="1"/>
  <c r="N13" i="10"/>
  <c r="M12" i="10"/>
  <c r="M14" i="10"/>
  <c r="M20" i="10"/>
  <c r="L19" i="10"/>
  <c r="L21" i="10"/>
  <c r="N13" i="9"/>
  <c r="M12" i="9"/>
  <c r="M14" i="9"/>
  <c r="M20" i="9"/>
  <c r="L19" i="9"/>
  <c r="L21" i="9"/>
  <c r="M20" i="8"/>
  <c r="L19" i="8"/>
  <c r="L21" i="8"/>
  <c r="N13" i="8"/>
  <c r="M12" i="8"/>
  <c r="M14" i="8"/>
  <c r="L12" i="5"/>
  <c r="M13" i="5"/>
  <c r="L14" i="5"/>
  <c r="L20" i="5"/>
  <c r="K19" i="5"/>
  <c r="K21" i="5"/>
  <c r="J13" i="3"/>
  <c r="J12" i="3" s="1"/>
  <c r="I14" i="3"/>
  <c r="V15" i="11" l="1"/>
  <c r="U16" i="11"/>
  <c r="U14" i="11"/>
  <c r="BA15" i="12"/>
  <c r="AZ14" i="12"/>
  <c r="AZ16" i="12"/>
  <c r="C69" i="2"/>
  <c r="C70" i="2" s="1"/>
  <c r="I19" i="3"/>
  <c r="I21" i="3"/>
  <c r="J20" i="3"/>
  <c r="M19" i="10"/>
  <c r="N20" i="10"/>
  <c r="M21" i="10"/>
  <c r="N12" i="10"/>
  <c r="O13" i="10"/>
  <c r="N14" i="10"/>
  <c r="M19" i="9"/>
  <c r="N20" i="9"/>
  <c r="M21" i="9"/>
  <c r="O13" i="9"/>
  <c r="N12" i="9"/>
  <c r="N14" i="9"/>
  <c r="O13" i="8"/>
  <c r="N12" i="8"/>
  <c r="N14" i="8"/>
  <c r="M19" i="8"/>
  <c r="N20" i="8"/>
  <c r="M21" i="8"/>
  <c r="N13" i="5"/>
  <c r="M12" i="5"/>
  <c r="M14" i="5"/>
  <c r="L19" i="5"/>
  <c r="M20" i="5"/>
  <c r="L21" i="5"/>
  <c r="B70" i="2"/>
  <c r="K13" i="3"/>
  <c r="K12" i="3" s="1"/>
  <c r="J14" i="3"/>
  <c r="D69" i="2" l="1"/>
  <c r="W15" i="11"/>
  <c r="V16" i="11"/>
  <c r="V14" i="11"/>
  <c r="BB15" i="12"/>
  <c r="BA14" i="12"/>
  <c r="BA16" i="12"/>
  <c r="D70" i="2"/>
  <c r="J19" i="3"/>
  <c r="J21" i="3"/>
  <c r="K20" i="3"/>
  <c r="N19" i="10"/>
  <c r="O20" i="10"/>
  <c r="N21" i="10"/>
  <c r="P13" i="10"/>
  <c r="O12" i="10"/>
  <c r="O14" i="10"/>
  <c r="O12" i="9"/>
  <c r="P13" i="9"/>
  <c r="O14" i="9"/>
  <c r="O20" i="9"/>
  <c r="N19" i="9"/>
  <c r="N21" i="9"/>
  <c r="O20" i="8"/>
  <c r="N19" i="8"/>
  <c r="N21" i="8"/>
  <c r="P13" i="8"/>
  <c r="O12" i="8"/>
  <c r="O14" i="8"/>
  <c r="N20" i="5"/>
  <c r="M19" i="5"/>
  <c r="M21" i="5"/>
  <c r="O13" i="5"/>
  <c r="N12" i="5"/>
  <c r="N14" i="5"/>
  <c r="E69" i="2"/>
  <c r="E70" i="2" s="1"/>
  <c r="L13" i="3"/>
  <c r="L12" i="3" s="1"/>
  <c r="K14" i="3"/>
  <c r="X15" i="11" l="1"/>
  <c r="W16" i="11"/>
  <c r="W14" i="11"/>
  <c r="BC15" i="12"/>
  <c r="BB14" i="12"/>
  <c r="BB16" i="12"/>
  <c r="K19" i="3"/>
  <c r="K21" i="3"/>
  <c r="L20" i="3"/>
  <c r="Q13" i="10"/>
  <c r="P12" i="10"/>
  <c r="P14" i="10"/>
  <c r="O19" i="10"/>
  <c r="P20" i="10"/>
  <c r="O21" i="10"/>
  <c r="Q13" i="9"/>
  <c r="P12" i="9"/>
  <c r="P14" i="9"/>
  <c r="P20" i="9"/>
  <c r="O19" i="9"/>
  <c r="O21" i="9"/>
  <c r="Q13" i="8"/>
  <c r="P12" i="8"/>
  <c r="P14" i="8"/>
  <c r="O19" i="8"/>
  <c r="P20" i="8"/>
  <c r="O21" i="8"/>
  <c r="P13" i="5"/>
  <c r="O12" i="5"/>
  <c r="O14" i="5"/>
  <c r="O20" i="5"/>
  <c r="N19" i="5"/>
  <c r="N21" i="5"/>
  <c r="F69" i="2"/>
  <c r="F70" i="2" s="1"/>
  <c r="M13" i="3"/>
  <c r="M12" i="3" s="1"/>
  <c r="L14" i="3"/>
  <c r="Y15" i="11" l="1"/>
  <c r="X16" i="11"/>
  <c r="X14" i="11"/>
  <c r="BC14" i="12"/>
  <c r="BD15" i="12"/>
  <c r="BC16" i="12"/>
  <c r="L19" i="3"/>
  <c r="M20" i="3"/>
  <c r="L21" i="3"/>
  <c r="Q20" i="10"/>
  <c r="P19" i="10"/>
  <c r="P21" i="10"/>
  <c r="R13" i="10"/>
  <c r="Q12" i="10"/>
  <c r="Q14" i="10"/>
  <c r="Q20" i="9"/>
  <c r="P19" i="9"/>
  <c r="P21" i="9"/>
  <c r="Q12" i="9"/>
  <c r="R13" i="9"/>
  <c r="Q14" i="9"/>
  <c r="Q20" i="8"/>
  <c r="P19" i="8"/>
  <c r="P21" i="8"/>
  <c r="R13" i="8"/>
  <c r="Q12" i="8"/>
  <c r="Q14" i="8"/>
  <c r="P20" i="5"/>
  <c r="O19" i="5"/>
  <c r="O21" i="5"/>
  <c r="P12" i="5"/>
  <c r="Q13" i="5"/>
  <c r="P14" i="5"/>
  <c r="G69" i="2"/>
  <c r="G70" i="2" s="1"/>
  <c r="N13" i="3"/>
  <c r="N12" i="3" s="1"/>
  <c r="M14" i="3"/>
  <c r="Z15" i="11" l="1"/>
  <c r="Y16" i="11"/>
  <c r="Y14" i="11"/>
  <c r="BD14" i="12"/>
  <c r="BD16" i="12"/>
  <c r="M19" i="3"/>
  <c r="N20" i="3"/>
  <c r="M21" i="3"/>
  <c r="S13" i="10"/>
  <c r="R12" i="10"/>
  <c r="R14" i="10"/>
  <c r="Q19" i="10"/>
  <c r="Q21" i="10"/>
  <c r="S13" i="9"/>
  <c r="R12" i="9"/>
  <c r="R14" i="9"/>
  <c r="Q19" i="9"/>
  <c r="Q21" i="9"/>
  <c r="S13" i="8"/>
  <c r="R12" i="8"/>
  <c r="R14" i="8"/>
  <c r="Q19" i="8"/>
  <c r="Q21" i="8"/>
  <c r="R13" i="5"/>
  <c r="Q12" i="5"/>
  <c r="Q14" i="5"/>
  <c r="P19" i="5"/>
  <c r="Q20" i="5"/>
  <c r="P21" i="5"/>
  <c r="O13" i="3"/>
  <c r="O12" i="3" s="1"/>
  <c r="N14" i="3"/>
  <c r="Z16" i="11" l="1"/>
  <c r="AA15" i="11"/>
  <c r="Z14" i="11"/>
  <c r="N19" i="3"/>
  <c r="O20" i="3"/>
  <c r="N21" i="3"/>
  <c r="T13" i="10"/>
  <c r="S12" i="10"/>
  <c r="S14" i="10"/>
  <c r="T13" i="9"/>
  <c r="S12" i="9"/>
  <c r="S14" i="9"/>
  <c r="T13" i="8"/>
  <c r="S12" i="8"/>
  <c r="S14" i="8"/>
  <c r="Q19" i="5"/>
  <c r="Q21" i="5"/>
  <c r="S13" i="5"/>
  <c r="R12" i="5"/>
  <c r="R14" i="5"/>
  <c r="P13" i="3"/>
  <c r="P12" i="3" s="1"/>
  <c r="O14" i="3"/>
  <c r="AB15" i="11" l="1"/>
  <c r="AA16" i="11"/>
  <c r="AA14" i="11"/>
  <c r="O19" i="3"/>
  <c r="O21" i="3"/>
  <c r="P20" i="3"/>
  <c r="U13" i="10"/>
  <c r="T12" i="10"/>
  <c r="T14" i="10"/>
  <c r="U13" i="9"/>
  <c r="T12" i="9"/>
  <c r="T14" i="9"/>
  <c r="U13" i="8"/>
  <c r="T12" i="8"/>
  <c r="T14" i="8"/>
  <c r="T13" i="5"/>
  <c r="S12" i="5"/>
  <c r="S14" i="5"/>
  <c r="Q13" i="3"/>
  <c r="Q12" i="3" s="1"/>
  <c r="P14" i="3"/>
  <c r="B14" i="4"/>
  <c r="B18" i="4"/>
  <c r="AC15" i="11" l="1"/>
  <c r="AB16" i="11"/>
  <c r="AB14" i="11"/>
  <c r="P19" i="3"/>
  <c r="P21" i="3"/>
  <c r="Q20" i="3"/>
  <c r="V13" i="10"/>
  <c r="U12" i="10"/>
  <c r="U14" i="10"/>
  <c r="U12" i="9"/>
  <c r="V13" i="9"/>
  <c r="U14" i="9"/>
  <c r="V13" i="8"/>
  <c r="U12" i="8"/>
  <c r="U14" i="8"/>
  <c r="T12" i="5"/>
  <c r="U13" i="5"/>
  <c r="T14" i="5"/>
  <c r="D19" i="4"/>
  <c r="B19" i="4"/>
  <c r="E19" i="4"/>
  <c r="C19" i="4"/>
  <c r="R13" i="3"/>
  <c r="R12" i="3" s="1"/>
  <c r="Q14" i="3"/>
  <c r="B21" i="4"/>
  <c r="F11" i="4"/>
  <c r="AC14" i="11" l="1"/>
  <c r="AC16" i="11"/>
  <c r="AD15" i="11"/>
  <c r="Q21" i="3"/>
  <c r="Q19" i="3"/>
  <c r="V12" i="10"/>
  <c r="W13" i="10"/>
  <c r="V14" i="10"/>
  <c r="V12" i="9"/>
  <c r="W13" i="9"/>
  <c r="V14" i="9"/>
  <c r="W13" i="8"/>
  <c r="V12" i="8"/>
  <c r="V14" i="8"/>
  <c r="V13" i="5"/>
  <c r="U12" i="5"/>
  <c r="U14" i="5"/>
  <c r="S13" i="3"/>
  <c r="S12" i="3" s="1"/>
  <c r="R14" i="3"/>
  <c r="F13" i="4"/>
  <c r="F12" i="4" s="1"/>
  <c r="AE15" i="11" l="1"/>
  <c r="AD14" i="11"/>
  <c r="AD16" i="11"/>
  <c r="X13" i="10"/>
  <c r="W12" i="10"/>
  <c r="W14" i="10"/>
  <c r="X13" i="9"/>
  <c r="W12" i="9"/>
  <c r="W14" i="9"/>
  <c r="X13" i="8"/>
  <c r="W12" i="8"/>
  <c r="W14" i="8"/>
  <c r="W13" i="5"/>
  <c r="V12" i="5"/>
  <c r="V14" i="5"/>
  <c r="T13" i="3"/>
  <c r="T12" i="3" s="1"/>
  <c r="S14" i="3"/>
  <c r="F20" i="4"/>
  <c r="G13" i="4"/>
  <c r="G12" i="4" s="1"/>
  <c r="F14" i="4"/>
  <c r="AE14" i="11" l="1"/>
  <c r="AF15" i="11"/>
  <c r="AE16" i="11"/>
  <c r="Y13" i="10"/>
  <c r="X12" i="10"/>
  <c r="X14" i="10"/>
  <c r="Y13" i="9"/>
  <c r="X12" i="9"/>
  <c r="X14" i="9"/>
  <c r="Y13" i="8"/>
  <c r="X12" i="8"/>
  <c r="X14" i="8"/>
  <c r="X13" i="5"/>
  <c r="W12" i="5"/>
  <c r="W14" i="5"/>
  <c r="G20" i="4"/>
  <c r="G19" i="4" s="1"/>
  <c r="F19" i="4"/>
  <c r="U13" i="3"/>
  <c r="U12" i="3" s="1"/>
  <c r="T14" i="3"/>
  <c r="G14" i="4"/>
  <c r="H13" i="4"/>
  <c r="H12" i="4" s="1"/>
  <c r="F21" i="4"/>
  <c r="AF14" i="11" l="1"/>
  <c r="AG15" i="11"/>
  <c r="AF16" i="11"/>
  <c r="H20" i="4"/>
  <c r="H19" i="4" s="1"/>
  <c r="G21" i="4"/>
  <c r="Z13" i="10"/>
  <c r="Y12" i="10"/>
  <c r="Y14" i="10"/>
  <c r="Z13" i="9"/>
  <c r="Y12" i="9"/>
  <c r="Y14" i="9"/>
  <c r="Z13" i="8"/>
  <c r="Y12" i="8"/>
  <c r="Y14" i="8"/>
  <c r="X12" i="5"/>
  <c r="Y13" i="5"/>
  <c r="X14" i="5"/>
  <c r="V13" i="3"/>
  <c r="V12" i="3" s="1"/>
  <c r="U14" i="3"/>
  <c r="I13" i="4"/>
  <c r="I12" i="4" s="1"/>
  <c r="H14" i="4"/>
  <c r="AH15" i="11" l="1"/>
  <c r="AG14" i="11"/>
  <c r="AG16" i="11"/>
  <c r="I20" i="4"/>
  <c r="I19" i="4" s="1"/>
  <c r="H21" i="4"/>
  <c r="AA13" i="10"/>
  <c r="Z12" i="10"/>
  <c r="Z14" i="10"/>
  <c r="Z12" i="9"/>
  <c r="AA13" i="9"/>
  <c r="Z14" i="9"/>
  <c r="Z12" i="8"/>
  <c r="AA13" i="8"/>
  <c r="Z14" i="8"/>
  <c r="Z13" i="5"/>
  <c r="Y12" i="5"/>
  <c r="Y14" i="5"/>
  <c r="W13" i="3"/>
  <c r="W12" i="3" s="1"/>
  <c r="V14" i="3"/>
  <c r="J20" i="4"/>
  <c r="J19" i="4" s="1"/>
  <c r="I14" i="4"/>
  <c r="J13" i="4"/>
  <c r="J12" i="4" s="1"/>
  <c r="AH14" i="11" l="1"/>
  <c r="AH16" i="11"/>
  <c r="AI15" i="11"/>
  <c r="I21" i="4"/>
  <c r="AA14" i="10"/>
  <c r="AB13" i="10"/>
  <c r="AA12" i="10"/>
  <c r="AA12" i="9"/>
  <c r="AB13" i="9"/>
  <c r="AA14" i="9"/>
  <c r="AA14" i="8"/>
  <c r="AB13" i="8"/>
  <c r="AA12" i="8"/>
  <c r="AA13" i="5"/>
  <c r="Z12" i="5"/>
  <c r="Z14" i="5"/>
  <c r="X13" i="3"/>
  <c r="X12" i="3" s="1"/>
  <c r="W14" i="3"/>
  <c r="K13" i="4"/>
  <c r="K12" i="4" s="1"/>
  <c r="J14" i="4"/>
  <c r="J21" i="4"/>
  <c r="K20" i="4"/>
  <c r="K19" i="4" s="1"/>
  <c r="AI14" i="11" l="1"/>
  <c r="AI16" i="11"/>
  <c r="AJ15" i="11"/>
  <c r="AC13" i="10"/>
  <c r="AB12" i="10"/>
  <c r="AB14" i="10"/>
  <c r="AC13" i="9"/>
  <c r="AB12" i="9"/>
  <c r="AB14" i="9"/>
  <c r="AC13" i="8"/>
  <c r="AB12" i="8"/>
  <c r="AB14" i="8"/>
  <c r="AB13" i="5"/>
  <c r="AA12" i="5"/>
  <c r="AA14" i="5"/>
  <c r="Y13" i="3"/>
  <c r="Y12" i="3" s="1"/>
  <c r="X14" i="3"/>
  <c r="K21" i="4"/>
  <c r="L20" i="4"/>
  <c r="L19" i="4" s="1"/>
  <c r="K14" i="4"/>
  <c r="L13" i="4"/>
  <c r="L12" i="4" s="1"/>
  <c r="AK15" i="11" l="1"/>
  <c r="AJ16" i="11"/>
  <c r="AJ14" i="11"/>
  <c r="AD13" i="10"/>
  <c r="AC12" i="10"/>
  <c r="AC14" i="10"/>
  <c r="AD13" i="9"/>
  <c r="AC12" i="9"/>
  <c r="AC14" i="9"/>
  <c r="AD13" i="8"/>
  <c r="AC12" i="8"/>
  <c r="AC14" i="8"/>
  <c r="AB12" i="5"/>
  <c r="AC13" i="5"/>
  <c r="AB14" i="5"/>
  <c r="Z13" i="3"/>
  <c r="Z12" i="3" s="1"/>
  <c r="Y14" i="3"/>
  <c r="L21" i="4"/>
  <c r="M20" i="4"/>
  <c r="M19" i="4" s="1"/>
  <c r="M13" i="4"/>
  <c r="M12" i="4" s="1"/>
  <c r="L14" i="4"/>
  <c r="AK14" i="11" l="1"/>
  <c r="AK16" i="11"/>
  <c r="AL15" i="11"/>
  <c r="AD12" i="10"/>
  <c r="AE13" i="10"/>
  <c r="AD14" i="10"/>
  <c r="AE13" i="9"/>
  <c r="AD12" i="9"/>
  <c r="AD14" i="9"/>
  <c r="AE13" i="8"/>
  <c r="AD12" i="8"/>
  <c r="AD14" i="8"/>
  <c r="AD13" i="5"/>
  <c r="AC12" i="5"/>
  <c r="AC14" i="5"/>
  <c r="AA13" i="3"/>
  <c r="AA12" i="3" s="1"/>
  <c r="Z14" i="3"/>
  <c r="M14" i="4"/>
  <c r="N13" i="4"/>
  <c r="N12" i="4" s="1"/>
  <c r="M21" i="4"/>
  <c r="N20" i="4"/>
  <c r="N19" i="4" s="1"/>
  <c r="AL16" i="11" l="1"/>
  <c r="AM15" i="11"/>
  <c r="AL14" i="11"/>
  <c r="AF13" i="10"/>
  <c r="AE12" i="10"/>
  <c r="AE14" i="10"/>
  <c r="AE12" i="9"/>
  <c r="AF13" i="9"/>
  <c r="AE14" i="9"/>
  <c r="AF13" i="8"/>
  <c r="AE12" i="8"/>
  <c r="AE14" i="8"/>
  <c r="AE13" i="5"/>
  <c r="AD12" i="5"/>
  <c r="AD14" i="5"/>
  <c r="AB13" i="3"/>
  <c r="AB12" i="3" s="1"/>
  <c r="AA14" i="3"/>
  <c r="O20" i="4"/>
  <c r="O19" i="4" s="1"/>
  <c r="N21" i="4"/>
  <c r="N14" i="4"/>
  <c r="O13" i="4"/>
  <c r="O12" i="4" s="1"/>
  <c r="AM14" i="11" l="1"/>
  <c r="AM16" i="11"/>
  <c r="AN15" i="11"/>
  <c r="AG13" i="10"/>
  <c r="AF12" i="10"/>
  <c r="AF14" i="10"/>
  <c r="AG13" i="9"/>
  <c r="AF12" i="9"/>
  <c r="AF14" i="9"/>
  <c r="AG13" i="8"/>
  <c r="AF12" i="8"/>
  <c r="AF14" i="8"/>
  <c r="AF13" i="5"/>
  <c r="AE12" i="5"/>
  <c r="AE14" i="5"/>
  <c r="AC13" i="3"/>
  <c r="AC12" i="3" s="1"/>
  <c r="AB14" i="3"/>
  <c r="O14" i="4"/>
  <c r="P13" i="4"/>
  <c r="P12" i="4" s="1"/>
  <c r="P20" i="4"/>
  <c r="P19" i="4" s="1"/>
  <c r="O21" i="4"/>
  <c r="AN16" i="11" l="1"/>
  <c r="AN14" i="11"/>
  <c r="AO15" i="11"/>
  <c r="AH13" i="10"/>
  <c r="AG12" i="10"/>
  <c r="AG14" i="10"/>
  <c r="AG12" i="9"/>
  <c r="AH13" i="9"/>
  <c r="AG14" i="9"/>
  <c r="AH13" i="8"/>
  <c r="AG12" i="8"/>
  <c r="AG14" i="8"/>
  <c r="AF12" i="5"/>
  <c r="AG13" i="5"/>
  <c r="AF14" i="5"/>
  <c r="AD13" i="3"/>
  <c r="AD12" i="3" s="1"/>
  <c r="AC14" i="3"/>
  <c r="Q20" i="4"/>
  <c r="P21" i="4"/>
  <c r="Q13" i="4"/>
  <c r="Q12" i="4" s="1"/>
  <c r="P14" i="4"/>
  <c r="AP15" i="11" l="1"/>
  <c r="AO14" i="11"/>
  <c r="AO16" i="11"/>
  <c r="AI13" i="10"/>
  <c r="AH12" i="10"/>
  <c r="AH14" i="10"/>
  <c r="AI13" i="9"/>
  <c r="AH12" i="9"/>
  <c r="AH14" i="9"/>
  <c r="AI13" i="8"/>
  <c r="AH12" i="8"/>
  <c r="AH14" i="8"/>
  <c r="AH13" i="5"/>
  <c r="AG12" i="5"/>
  <c r="AG14" i="5"/>
  <c r="Q21" i="4"/>
  <c r="Q19" i="4"/>
  <c r="AE13" i="3"/>
  <c r="AE12" i="3" s="1"/>
  <c r="AD14" i="3"/>
  <c r="Q14" i="4"/>
  <c r="R13" i="4"/>
  <c r="R12" i="4" s="1"/>
  <c r="AQ15" i="11" l="1"/>
  <c r="AP14" i="11"/>
  <c r="AP16" i="11"/>
  <c r="AJ13" i="10"/>
  <c r="AI12" i="10"/>
  <c r="AI14" i="10"/>
  <c r="AJ13" i="9"/>
  <c r="AI12" i="9"/>
  <c r="AI14" i="9"/>
  <c r="AJ13" i="8"/>
  <c r="AI12" i="8"/>
  <c r="AI14" i="8"/>
  <c r="AI13" i="5"/>
  <c r="AH12" i="5"/>
  <c r="AH14" i="5"/>
  <c r="AF13" i="3"/>
  <c r="AF12" i="3" s="1"/>
  <c r="AE14" i="3"/>
  <c r="S13" i="4"/>
  <c r="S12" i="4" s="1"/>
  <c r="R14" i="4"/>
  <c r="AQ14" i="11" l="1"/>
  <c r="AQ16" i="11"/>
  <c r="AR15" i="11"/>
  <c r="AK13" i="10"/>
  <c r="AJ12" i="10"/>
  <c r="AJ14" i="10"/>
  <c r="AK13" i="9"/>
  <c r="AJ12" i="9"/>
  <c r="AJ14" i="9"/>
  <c r="AK13" i="8"/>
  <c r="AJ12" i="8"/>
  <c r="AJ14" i="8"/>
  <c r="AJ13" i="5"/>
  <c r="AI12" i="5"/>
  <c r="AI14" i="5"/>
  <c r="AG13" i="3"/>
  <c r="AG12" i="3" s="1"/>
  <c r="AF14" i="3"/>
  <c r="S14" i="4"/>
  <c r="T13" i="4"/>
  <c r="T12" i="4" s="1"/>
  <c r="AR14" i="11" l="1"/>
  <c r="AS15" i="11"/>
  <c r="AR16" i="11"/>
  <c r="AL13" i="10"/>
  <c r="AK12" i="10"/>
  <c r="AK14" i="10"/>
  <c r="AK12" i="9"/>
  <c r="AL13" i="9"/>
  <c r="AK14" i="9"/>
  <c r="AL13" i="8"/>
  <c r="AK12" i="8"/>
  <c r="AK14" i="8"/>
  <c r="AJ12" i="5"/>
  <c r="AK13" i="5"/>
  <c r="AJ14" i="5"/>
  <c r="AH13" i="3"/>
  <c r="AH12" i="3" s="1"/>
  <c r="AG14" i="3"/>
  <c r="U13" i="4"/>
  <c r="U12" i="4" s="1"/>
  <c r="T14" i="4"/>
  <c r="AS14" i="11" l="1"/>
  <c r="AS16" i="11"/>
  <c r="AT15" i="11"/>
  <c r="AM13" i="10"/>
  <c r="AL12" i="10"/>
  <c r="AL14" i="10"/>
  <c r="AL12" i="9"/>
  <c r="AM13" i="9"/>
  <c r="AL14" i="9"/>
  <c r="AL12" i="8"/>
  <c r="AM13" i="8"/>
  <c r="AL14" i="8"/>
  <c r="AL13" i="5"/>
  <c r="AK12" i="5"/>
  <c r="AK14" i="5"/>
  <c r="AI13" i="3"/>
  <c r="AI12" i="3" s="1"/>
  <c r="AH14" i="3"/>
  <c r="U14" i="4"/>
  <c r="V13" i="4"/>
  <c r="V12" i="4" s="1"/>
  <c r="AT14" i="11" l="1"/>
  <c r="AU15" i="11"/>
  <c r="AT16" i="11"/>
  <c r="AM14" i="10"/>
  <c r="AN13" i="10"/>
  <c r="AM12" i="10"/>
  <c r="AN13" i="9"/>
  <c r="AM12" i="9"/>
  <c r="AM14" i="9"/>
  <c r="AN13" i="8"/>
  <c r="AM12" i="8"/>
  <c r="AM14" i="8"/>
  <c r="AM13" i="5"/>
  <c r="AL12" i="5"/>
  <c r="AL14" i="5"/>
  <c r="AJ13" i="3"/>
  <c r="AJ12" i="3" s="1"/>
  <c r="AI14" i="3"/>
  <c r="V14" i="4"/>
  <c r="W13" i="4"/>
  <c r="W12" i="4" s="1"/>
  <c r="AU14" i="11" l="1"/>
  <c r="AU16" i="11"/>
  <c r="AV15" i="11"/>
  <c r="AO13" i="10"/>
  <c r="AN12" i="10"/>
  <c r="AN14" i="10"/>
  <c r="AO13" i="9"/>
  <c r="AN12" i="9"/>
  <c r="AN14" i="9"/>
  <c r="AO13" i="8"/>
  <c r="AN12" i="8"/>
  <c r="AN14" i="8"/>
  <c r="AN13" i="5"/>
  <c r="AM12" i="5"/>
  <c r="AM14" i="5"/>
  <c r="AK13" i="3"/>
  <c r="AK12" i="3" s="1"/>
  <c r="AJ14" i="3"/>
  <c r="W14" i="4"/>
  <c r="X13" i="4"/>
  <c r="X12" i="4" s="1"/>
  <c r="AW15" i="11" l="1"/>
  <c r="AV16" i="11"/>
  <c r="AV14" i="11"/>
  <c r="AP13" i="10"/>
  <c r="AO12" i="10"/>
  <c r="AO14" i="10"/>
  <c r="AP13" i="9"/>
  <c r="AO12" i="9"/>
  <c r="AO14" i="9"/>
  <c r="AP13" i="8"/>
  <c r="AO12" i="8"/>
  <c r="AO14" i="8"/>
  <c r="AN12" i="5"/>
  <c r="AO13" i="5"/>
  <c r="AN14" i="5"/>
  <c r="AL13" i="3"/>
  <c r="AL12" i="3" s="1"/>
  <c r="AK14" i="3"/>
  <c r="Y13" i="4"/>
  <c r="Y12" i="4" s="1"/>
  <c r="X14" i="4"/>
  <c r="AW16" i="11" l="1"/>
  <c r="AW14" i="11"/>
  <c r="AP12" i="10"/>
  <c r="AQ13" i="10"/>
  <c r="AP14" i="10"/>
  <c r="AP12" i="9"/>
  <c r="AQ13" i="9"/>
  <c r="AP14" i="9"/>
  <c r="AP12" i="8"/>
  <c r="AQ13" i="8"/>
  <c r="AP14" i="8"/>
  <c r="AP13" i="5"/>
  <c r="AO12" i="5"/>
  <c r="AO14" i="5"/>
  <c r="AM13" i="3"/>
  <c r="AM12" i="3" s="1"/>
  <c r="AL14" i="3"/>
  <c r="Y14" i="4"/>
  <c r="Z13" i="4"/>
  <c r="Z12" i="4" s="1"/>
  <c r="AR13" i="10" l="1"/>
  <c r="AQ12" i="10"/>
  <c r="AQ14" i="10"/>
  <c r="AQ12" i="9"/>
  <c r="AR13" i="9"/>
  <c r="AQ14" i="9"/>
  <c r="AR13" i="8"/>
  <c r="AQ12" i="8"/>
  <c r="AQ14" i="8"/>
  <c r="AQ13" i="5"/>
  <c r="AP12" i="5"/>
  <c r="AP14" i="5"/>
  <c r="AN13" i="3"/>
  <c r="AN12" i="3" s="1"/>
  <c r="AM14" i="3"/>
  <c r="AA13" i="4"/>
  <c r="AA12" i="4" s="1"/>
  <c r="Z14" i="4"/>
  <c r="AS13" i="10" l="1"/>
  <c r="AR12" i="10"/>
  <c r="AR14" i="10"/>
  <c r="AS13" i="9"/>
  <c r="AR12" i="9"/>
  <c r="AR14" i="9"/>
  <c r="AS13" i="8"/>
  <c r="AR12" i="8"/>
  <c r="AR14" i="8"/>
  <c r="AR13" i="5"/>
  <c r="AQ12" i="5"/>
  <c r="AQ14" i="5"/>
  <c r="AO13" i="3"/>
  <c r="AO12" i="3" s="1"/>
  <c r="AN14" i="3"/>
  <c r="AA14" i="4"/>
  <c r="AB13" i="4"/>
  <c r="AB12" i="4" s="1"/>
  <c r="AT13" i="10" l="1"/>
  <c r="AS12" i="10"/>
  <c r="AS14" i="10"/>
  <c r="AT13" i="9"/>
  <c r="AS12" i="9"/>
  <c r="AS14" i="9"/>
  <c r="AT13" i="8"/>
  <c r="AS12" i="8"/>
  <c r="AS14" i="8"/>
  <c r="AR12" i="5"/>
  <c r="AS13" i="5"/>
  <c r="AR14" i="5"/>
  <c r="AP13" i="3"/>
  <c r="AP12" i="3" s="1"/>
  <c r="AO14" i="3"/>
  <c r="AC13" i="4"/>
  <c r="AC12" i="4" s="1"/>
  <c r="AB14" i="4"/>
  <c r="AU13" i="10" l="1"/>
  <c r="AT12" i="10"/>
  <c r="AT14" i="10"/>
  <c r="AU13" i="9"/>
  <c r="AT12" i="9"/>
  <c r="AT14" i="9"/>
  <c r="AU13" i="8"/>
  <c r="AT12" i="8"/>
  <c r="AT14" i="8"/>
  <c r="AT13" i="5"/>
  <c r="AS12" i="5"/>
  <c r="AS14" i="5"/>
  <c r="AQ13" i="3"/>
  <c r="AQ12" i="3" s="1"/>
  <c r="AP14" i="3"/>
  <c r="AC14" i="4"/>
  <c r="AD13" i="4"/>
  <c r="AD12" i="4" s="1"/>
  <c r="AV13" i="10" l="1"/>
  <c r="AU12" i="10"/>
  <c r="AU14" i="10"/>
  <c r="AU12" i="9"/>
  <c r="AV13" i="9"/>
  <c r="AU14" i="9"/>
  <c r="AV13" i="8"/>
  <c r="AU12" i="8"/>
  <c r="AU14" i="8"/>
  <c r="AU13" i="5"/>
  <c r="AT12" i="5"/>
  <c r="AT14" i="5"/>
  <c r="AR13" i="3"/>
  <c r="AR12" i="3" s="1"/>
  <c r="AQ14" i="3"/>
  <c r="AD14" i="4"/>
  <c r="AE13" i="4"/>
  <c r="AE12" i="4" s="1"/>
  <c r="AW13" i="10" l="1"/>
  <c r="AV12" i="10"/>
  <c r="AV14" i="10"/>
  <c r="AW13" i="9"/>
  <c r="AV12" i="9"/>
  <c r="AV14" i="9"/>
  <c r="AW13" i="8"/>
  <c r="AV12" i="8"/>
  <c r="AV14" i="8"/>
  <c r="AV13" i="5"/>
  <c r="AU12" i="5"/>
  <c r="AU14" i="5"/>
  <c r="AS13" i="3"/>
  <c r="AS12" i="3" s="1"/>
  <c r="AR14" i="3"/>
  <c r="AE14" i="4"/>
  <c r="AF13" i="4"/>
  <c r="AF12" i="4" s="1"/>
  <c r="AX13" i="10" l="1"/>
  <c r="AW12" i="10"/>
  <c r="AW14" i="10"/>
  <c r="AW12" i="9"/>
  <c r="AX13" i="9"/>
  <c r="AW14" i="9"/>
  <c r="AX13" i="8"/>
  <c r="AW12" i="8"/>
  <c r="AW14" i="8"/>
  <c r="AV12" i="5"/>
  <c r="AW13" i="5"/>
  <c r="AV14" i="5"/>
  <c r="AT13" i="3"/>
  <c r="AT12" i="3" s="1"/>
  <c r="AS14" i="3"/>
  <c r="AF14" i="4"/>
  <c r="AG13" i="4"/>
  <c r="AG12" i="4" s="1"/>
  <c r="AY13" i="10" l="1"/>
  <c r="AX12" i="10"/>
  <c r="AX14" i="10"/>
  <c r="AY13" i="9"/>
  <c r="AX12" i="9"/>
  <c r="AX14" i="9"/>
  <c r="AX12" i="8"/>
  <c r="AY13" i="8"/>
  <c r="AX14" i="8"/>
  <c r="AX13" i="5"/>
  <c r="AW12" i="5"/>
  <c r="AW14" i="5"/>
  <c r="AU13" i="3"/>
  <c r="AU12" i="3" s="1"/>
  <c r="AT14" i="3"/>
  <c r="AG14" i="4"/>
  <c r="AH13" i="4"/>
  <c r="AH12" i="4" s="1"/>
  <c r="AZ13" i="10" l="1"/>
  <c r="AY12" i="10"/>
  <c r="AY14" i="10"/>
  <c r="AZ13" i="9"/>
  <c r="AY12" i="9"/>
  <c r="AY14" i="9"/>
  <c r="AZ13" i="8"/>
  <c r="AY12" i="8"/>
  <c r="AY14" i="8"/>
  <c r="AY13" i="5"/>
  <c r="AX12" i="5"/>
  <c r="AX14" i="5"/>
  <c r="AV13" i="3"/>
  <c r="AV12" i="3" s="1"/>
  <c r="AU14" i="3"/>
  <c r="AI13" i="4"/>
  <c r="AI12" i="4" s="1"/>
  <c r="AH14" i="4"/>
  <c r="BA13" i="10" l="1"/>
  <c r="AZ12" i="10"/>
  <c r="AZ14" i="10"/>
  <c r="BA13" i="9"/>
  <c r="AZ12" i="9"/>
  <c r="AZ14" i="9"/>
  <c r="BA13" i="8"/>
  <c r="AZ12" i="8"/>
  <c r="AZ14" i="8"/>
  <c r="AZ13" i="5"/>
  <c r="AY12" i="5"/>
  <c r="AY14" i="5"/>
  <c r="AW13" i="3"/>
  <c r="AW12" i="3" s="1"/>
  <c r="AV14" i="3"/>
  <c r="AJ13" i="4"/>
  <c r="AJ12" i="4" s="1"/>
  <c r="AI14" i="4"/>
  <c r="BB13" i="10" l="1"/>
  <c r="BA12" i="10"/>
  <c r="BA14" i="10"/>
  <c r="BA12" i="9"/>
  <c r="BB13" i="9"/>
  <c r="BA14" i="9"/>
  <c r="BB13" i="8"/>
  <c r="BA12" i="8"/>
  <c r="BA14" i="8"/>
  <c r="AZ12" i="5"/>
  <c r="BA13" i="5"/>
  <c r="AZ14" i="5"/>
  <c r="AX13" i="3"/>
  <c r="AX12" i="3" s="1"/>
  <c r="AW14" i="3"/>
  <c r="AJ14" i="4"/>
  <c r="AK13" i="4"/>
  <c r="AK12" i="4" s="1"/>
  <c r="BC13" i="10" l="1"/>
  <c r="BB12" i="10"/>
  <c r="BB14" i="10"/>
  <c r="BB12" i="9"/>
  <c r="BC13" i="9"/>
  <c r="BB14" i="9"/>
  <c r="BC13" i="8"/>
  <c r="BB12" i="8"/>
  <c r="BB14" i="8"/>
  <c r="BB13" i="5"/>
  <c r="BA12" i="5"/>
  <c r="BA14" i="5"/>
  <c r="AY13" i="3"/>
  <c r="AY12" i="3" s="1"/>
  <c r="AX14" i="3"/>
  <c r="AK14" i="4"/>
  <c r="AL13" i="4"/>
  <c r="AL12" i="4" s="1"/>
  <c r="BC14" i="10" l="1"/>
  <c r="BD13" i="10"/>
  <c r="BC12" i="10"/>
  <c r="BD13" i="9"/>
  <c r="BC12" i="9"/>
  <c r="BC14" i="9"/>
  <c r="BC14" i="8"/>
  <c r="BD13" i="8"/>
  <c r="BC12" i="8"/>
  <c r="BC13" i="5"/>
  <c r="BB12" i="5"/>
  <c r="BB14" i="5"/>
  <c r="AZ13" i="3"/>
  <c r="AZ12" i="3" s="1"/>
  <c r="AY14" i="3"/>
  <c r="AL14" i="4"/>
  <c r="AM13" i="4"/>
  <c r="AM12" i="4" s="1"/>
  <c r="BE13" i="10" l="1"/>
  <c r="BD12" i="10"/>
  <c r="BD14" i="10"/>
  <c r="BE13" i="9"/>
  <c r="BD12" i="9"/>
  <c r="BD14" i="9"/>
  <c r="BE13" i="8"/>
  <c r="BD12" i="8"/>
  <c r="BD14" i="8"/>
  <c r="BD13" i="5"/>
  <c r="BC12" i="5"/>
  <c r="BC14" i="5"/>
  <c r="BA13" i="3"/>
  <c r="BA12" i="3" s="1"/>
  <c r="AZ14" i="3"/>
  <c r="AM14" i="4"/>
  <c r="AN13" i="4"/>
  <c r="AN12" i="4" s="1"/>
  <c r="BE12" i="10" l="1"/>
  <c r="BE14" i="10"/>
  <c r="BE12" i="9"/>
  <c r="BE14" i="9"/>
  <c r="BE12" i="8"/>
  <c r="BE14" i="8"/>
  <c r="BD12" i="5"/>
  <c r="BE13" i="5"/>
  <c r="BD14" i="5"/>
  <c r="BB13" i="3"/>
  <c r="BB12" i="3" s="1"/>
  <c r="BA14" i="3"/>
  <c r="AO13" i="4"/>
  <c r="AO12" i="4" s="1"/>
  <c r="AN14" i="4"/>
  <c r="BE12" i="5" l="1"/>
  <c r="BE14" i="5"/>
  <c r="BC13" i="3"/>
  <c r="BC12" i="3" s="1"/>
  <c r="BB14" i="3"/>
  <c r="AO14" i="4"/>
  <c r="AP13" i="4"/>
  <c r="AP12" i="4" s="1"/>
  <c r="BD13" i="3" l="1"/>
  <c r="BD12" i="3" s="1"/>
  <c r="BC14" i="3"/>
  <c r="AQ13" i="4"/>
  <c r="AQ12" i="4" s="1"/>
  <c r="AP14" i="4"/>
  <c r="BE13" i="3" l="1"/>
  <c r="BD14" i="3"/>
  <c r="AQ14" i="4"/>
  <c r="AR13" i="4"/>
  <c r="AR12" i="4" s="1"/>
  <c r="BE14" i="3" l="1"/>
  <c r="BE12" i="3"/>
  <c r="AR14" i="4"/>
  <c r="AS13" i="4"/>
  <c r="AS12" i="4" s="1"/>
  <c r="AT13" i="4" l="1"/>
  <c r="AT12" i="4" s="1"/>
  <c r="AS14" i="4"/>
  <c r="AT14" i="4" l="1"/>
  <c r="AU13" i="4"/>
  <c r="AU12" i="4" s="1"/>
  <c r="AU14" i="4" l="1"/>
  <c r="AV13" i="4"/>
  <c r="AV12" i="4" s="1"/>
  <c r="AW13" i="4" l="1"/>
  <c r="AW12" i="4" s="1"/>
  <c r="AV14" i="4"/>
  <c r="AX13" i="4" l="1"/>
  <c r="AX12" i="4" s="1"/>
  <c r="AW14" i="4"/>
  <c r="AY13" i="4" l="1"/>
  <c r="AY12" i="4" s="1"/>
  <c r="AX14" i="4"/>
  <c r="AY14" i="4" l="1"/>
  <c r="AZ13" i="4"/>
  <c r="AZ12" i="4" s="1"/>
  <c r="BA13" i="4" l="1"/>
  <c r="BA12" i="4" s="1"/>
  <c r="AZ14" i="4"/>
  <c r="BB13" i="4" l="1"/>
  <c r="BB12" i="4" s="1"/>
  <c r="BA14" i="4"/>
  <c r="BC13" i="4" l="1"/>
  <c r="BC12" i="4" s="1"/>
  <c r="BB14" i="4"/>
  <c r="BC14" i="4" l="1"/>
  <c r="BD13" i="4"/>
  <c r="BD12" i="4" s="1"/>
  <c r="BE13" i="4" l="1"/>
  <c r="BD14" i="4"/>
  <c r="B14" i="3"/>
  <c r="BE14" i="4" l="1"/>
  <c r="BE12" i="4"/>
</calcChain>
</file>

<file path=xl/sharedStrings.xml><?xml version="1.0" encoding="utf-8"?>
<sst xmlns="http://schemas.openxmlformats.org/spreadsheetml/2006/main" count="1202" uniqueCount="316">
  <si>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</si>
  <si>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</si>
  <si>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</si>
  <si>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</si>
  <si>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</si>
  <si>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</si>
  <si>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</si>
  <si>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</si>
  <si>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</si>
  <si>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</si>
  <si>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</si>
  <si>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</si>
  <si>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Net sales, ext</t>
  </si>
  <si>
    <t>Net sales, ig</t>
  </si>
  <si>
    <t>TOTAL SALES</t>
  </si>
  <si>
    <t>Direct material</t>
  </si>
  <si>
    <t>Direct labor</t>
  </si>
  <si>
    <t>Variable production costs</t>
  </si>
  <si>
    <t>Freight costs, net</t>
  </si>
  <si>
    <t>Other direct distribution costs</t>
  </si>
  <si>
    <t>CONTRIBUTION MARGIN</t>
  </si>
  <si>
    <t>Fixed production costs</t>
  </si>
  <si>
    <t>GROSS MARGIN</t>
  </si>
  <si>
    <t>Apr 2016</t>
  </si>
  <si>
    <t>MTD</t>
  </si>
  <si>
    <t>Production Days</t>
  </si>
  <si>
    <t>Actual</t>
  </si>
  <si>
    <t>Direct Labor</t>
  </si>
  <si>
    <t>Overtime Premium</t>
  </si>
  <si>
    <t>Total Production</t>
  </si>
  <si>
    <t>Indirect Labor</t>
  </si>
  <si>
    <t>Temporary Labor</t>
  </si>
  <si>
    <t>Clerical Labor</t>
  </si>
  <si>
    <t>Supervision</t>
  </si>
  <si>
    <t>Total Clerical  Supervision</t>
  </si>
  <si>
    <t>Total Labor</t>
  </si>
  <si>
    <t>Fringe Benefit Costs:</t>
  </si>
  <si>
    <t>Payroll Taxes</t>
  </si>
  <si>
    <t>Medical Insurance</t>
  </si>
  <si>
    <t>Pension/401(k)</t>
  </si>
  <si>
    <t>Other Benefits</t>
  </si>
  <si>
    <t>Total Benefit Costs</t>
  </si>
  <si>
    <t>Total Labor &amp; Benefits</t>
  </si>
  <si>
    <t>Sales</t>
  </si>
  <si>
    <t>Mat'l</t>
  </si>
  <si>
    <t>Labor</t>
  </si>
  <si>
    <t>=(Sale-DM)/Labor</t>
  </si>
  <si>
    <t>Base Line</t>
  </si>
  <si>
    <t>Q1-15</t>
  </si>
  <si>
    <t>Q2-15</t>
  </si>
  <si>
    <t>Q3-15</t>
  </si>
  <si>
    <t>Q4-15</t>
  </si>
  <si>
    <t>2016-1</t>
  </si>
  <si>
    <t>2016-2</t>
  </si>
  <si>
    <t>2016-3</t>
  </si>
  <si>
    <t>2016-4</t>
  </si>
  <si>
    <t>2016-5</t>
  </si>
  <si>
    <t>2016-6</t>
  </si>
  <si>
    <t>2016-7</t>
  </si>
  <si>
    <t>2016-8</t>
  </si>
  <si>
    <t>2016-9</t>
  </si>
  <si>
    <t>2016-10</t>
  </si>
  <si>
    <t>2016-11</t>
  </si>
  <si>
    <t>2016-12</t>
  </si>
  <si>
    <t>2016-13</t>
  </si>
  <si>
    <t>2016-14</t>
  </si>
  <si>
    <t>2016-15</t>
  </si>
  <si>
    <t>2016-16</t>
  </si>
  <si>
    <t>2016-17</t>
  </si>
  <si>
    <t>2016-18</t>
  </si>
  <si>
    <t>2016-19</t>
  </si>
  <si>
    <t>2016-20</t>
  </si>
  <si>
    <t>2016-21</t>
  </si>
  <si>
    <t>2016-22</t>
  </si>
  <si>
    <t>2016-23</t>
  </si>
  <si>
    <t>2016-24</t>
  </si>
  <si>
    <t>2016-25</t>
  </si>
  <si>
    <t>2016-26</t>
  </si>
  <si>
    <t>2016-27</t>
  </si>
  <si>
    <t>2016-28</t>
  </si>
  <si>
    <t>2016-29</t>
  </si>
  <si>
    <t>2016-30</t>
  </si>
  <si>
    <t>2016-31</t>
  </si>
  <si>
    <t>2016-32</t>
  </si>
  <si>
    <t>2016-33</t>
  </si>
  <si>
    <t>2016-34</t>
  </si>
  <si>
    <t>2016-35</t>
  </si>
  <si>
    <t>2016-36</t>
  </si>
  <si>
    <t>2016-37</t>
  </si>
  <si>
    <t>2016-38</t>
  </si>
  <si>
    <t>2016-39</t>
  </si>
  <si>
    <t>2016-40</t>
  </si>
  <si>
    <t>2016-41</t>
  </si>
  <si>
    <t>2016-42</t>
  </si>
  <si>
    <t>2016-43</t>
  </si>
  <si>
    <t>2016-44</t>
  </si>
  <si>
    <t>2016-45</t>
  </si>
  <si>
    <t>2016-46</t>
  </si>
  <si>
    <t>2016-47</t>
  </si>
  <si>
    <t>2016-48</t>
  </si>
  <si>
    <t>2016-49</t>
  </si>
  <si>
    <t>2016-50</t>
  </si>
  <si>
    <t>2016-51</t>
  </si>
  <si>
    <t>2016-52</t>
  </si>
  <si>
    <t>Weekly-Actual</t>
  </si>
  <si>
    <t>% improvement from Base Line</t>
  </si>
  <si>
    <t>Monthly-Actual</t>
  </si>
  <si>
    <t>Standard Labor Dollars/Acutal Hours</t>
  </si>
  <si>
    <t>Standard Labor Hours/Acutal Hours</t>
  </si>
  <si>
    <t xml:space="preserve">Standard Labor Dollars </t>
  </si>
  <si>
    <t>Actual Labor Hours + OT premium</t>
  </si>
  <si>
    <t xml:space="preserve">Standard labor hours  </t>
  </si>
  <si>
    <t xml:space="preserve"> </t>
  </si>
  <si>
    <t>3 month average-Base Line</t>
  </si>
  <si>
    <t>YTD % improvement</t>
  </si>
  <si>
    <t>Actual hours</t>
  </si>
  <si>
    <t>OT hours</t>
  </si>
  <si>
    <t xml:space="preserve">Standard Plant labor hours  </t>
  </si>
  <si>
    <t>Actual Plant Labor Hours + OT premium</t>
  </si>
  <si>
    <t>OT Premium</t>
  </si>
  <si>
    <t>Plant</t>
  </si>
  <si>
    <t>Q1-16</t>
  </si>
  <si>
    <t>Q2-16</t>
  </si>
  <si>
    <t>Q3-16</t>
  </si>
  <si>
    <t>Q4-16</t>
  </si>
  <si>
    <t>2017-1</t>
  </si>
  <si>
    <t>2017-2</t>
  </si>
  <si>
    <t>2017-3</t>
  </si>
  <si>
    <t>2017-4</t>
  </si>
  <si>
    <t>2017-5</t>
  </si>
  <si>
    <t>2017-6</t>
  </si>
  <si>
    <t>2017-7</t>
  </si>
  <si>
    <t>2017-8</t>
  </si>
  <si>
    <t>2017-9</t>
  </si>
  <si>
    <t>2017-10</t>
  </si>
  <si>
    <t>2017-11</t>
  </si>
  <si>
    <t>2017-12</t>
  </si>
  <si>
    <t>2017-13</t>
  </si>
  <si>
    <t>2017-14</t>
  </si>
  <si>
    <t>2017-15</t>
  </si>
  <si>
    <t>2017-16</t>
  </si>
  <si>
    <t>2/20-2/28</t>
  </si>
  <si>
    <t>3/1-3/5</t>
  </si>
  <si>
    <t>3/13-3/19</t>
  </si>
  <si>
    <t>3/20-3/31</t>
  </si>
  <si>
    <t>4/1-4/9</t>
  </si>
  <si>
    <t>4/10-4/16</t>
  </si>
  <si>
    <t>4/17-4/23</t>
  </si>
  <si>
    <t>4/24-4/30</t>
  </si>
  <si>
    <t>1/2-1/8</t>
  </si>
  <si>
    <t>1/9-1/15</t>
  </si>
  <si>
    <t>2/1-2/5</t>
  </si>
  <si>
    <t>2/13-2/19</t>
  </si>
  <si>
    <t>2/6-2/12</t>
  </si>
  <si>
    <t>5/1-5/7</t>
  </si>
  <si>
    <t>5/8-5/14</t>
  </si>
  <si>
    <t>5/15-5/21</t>
  </si>
  <si>
    <t>6/1-6/11</t>
  </si>
  <si>
    <t>6/12-6/18</t>
  </si>
  <si>
    <t>6/19-6/25</t>
  </si>
  <si>
    <t>6/26-6/30</t>
  </si>
  <si>
    <t>7/1-7/9</t>
  </si>
  <si>
    <t>7/10-7/16</t>
  </si>
  <si>
    <t>7/17-7/23</t>
  </si>
  <si>
    <t>7/24-7/31</t>
  </si>
  <si>
    <t>1/16-1/22</t>
  </si>
  <si>
    <t>1/23-1/31</t>
  </si>
  <si>
    <t>5/22-5/31</t>
  </si>
  <si>
    <t>3/6-3/12</t>
  </si>
  <si>
    <t>2017-17</t>
  </si>
  <si>
    <t>2017-18</t>
  </si>
  <si>
    <t>2017-19</t>
  </si>
  <si>
    <t>2017-20</t>
  </si>
  <si>
    <t>2017-21</t>
  </si>
  <si>
    <t>2017-22</t>
  </si>
  <si>
    <t>2017-23</t>
  </si>
  <si>
    <t>2017-24</t>
  </si>
  <si>
    <t>2017-25</t>
  </si>
  <si>
    <t>2017-26</t>
  </si>
  <si>
    <t>2017-27</t>
  </si>
  <si>
    <t>2017-28</t>
  </si>
  <si>
    <t>2017-29</t>
  </si>
  <si>
    <t>2017-30</t>
  </si>
  <si>
    <t>2017-31</t>
  </si>
  <si>
    <t>2017-32</t>
  </si>
  <si>
    <t>2017-33</t>
  </si>
  <si>
    <t>2017-34</t>
  </si>
  <si>
    <t>2017-35</t>
  </si>
  <si>
    <t>2017-36</t>
  </si>
  <si>
    <t>2017-37</t>
  </si>
  <si>
    <t>2017-38</t>
  </si>
  <si>
    <t>2017-39</t>
  </si>
  <si>
    <t>2017-40</t>
  </si>
  <si>
    <t>2017-41</t>
  </si>
  <si>
    <t>2017-42</t>
  </si>
  <si>
    <t>2017-43</t>
  </si>
  <si>
    <t>2017-44</t>
  </si>
  <si>
    <t>2017-45</t>
  </si>
  <si>
    <t>2017-46</t>
  </si>
  <si>
    <t>2017-47</t>
  </si>
  <si>
    <t>2017-48</t>
  </si>
  <si>
    <t>8/1-8/6</t>
  </si>
  <si>
    <t>8/7-8/13</t>
  </si>
  <si>
    <t>8/14-8/20</t>
  </si>
  <si>
    <t>8/21-8/31</t>
  </si>
  <si>
    <t>9/1-9/10</t>
  </si>
  <si>
    <t>9/11-9/17</t>
  </si>
  <si>
    <t>9/18-9/24</t>
  </si>
  <si>
    <t>Standard Labor Hours/Actual Hours</t>
  </si>
  <si>
    <t>9/25-9/30</t>
  </si>
  <si>
    <t>10/1-10/8</t>
  </si>
  <si>
    <t>10/9-10/15</t>
  </si>
  <si>
    <t>10/16-10/22</t>
  </si>
  <si>
    <t>10/23-10/31</t>
  </si>
  <si>
    <t>11/1-11/12</t>
  </si>
  <si>
    <t>11/13-11/19</t>
  </si>
  <si>
    <t>11/20-11/26</t>
  </si>
  <si>
    <t>11/27-11/30</t>
  </si>
  <si>
    <t>12/1-12/10</t>
  </si>
  <si>
    <t>12/11-12/17</t>
  </si>
  <si>
    <t>12/18-12/24</t>
  </si>
  <si>
    <t>12/25-12/31</t>
  </si>
  <si>
    <t>1/1-1/7</t>
  </si>
  <si>
    <t>1/8-1/14</t>
  </si>
  <si>
    <t>1/22-1/31</t>
  </si>
  <si>
    <t>2018-1</t>
  </si>
  <si>
    <t>2018-2</t>
  </si>
  <si>
    <t>2018-3</t>
  </si>
  <si>
    <t>2018-4</t>
  </si>
  <si>
    <t>2018-5</t>
  </si>
  <si>
    <t>2018-6</t>
  </si>
  <si>
    <t>2018-7</t>
  </si>
  <si>
    <t>2018-8</t>
  </si>
  <si>
    <t>2018-9</t>
  </si>
  <si>
    <t>2018-10</t>
  </si>
  <si>
    <t>2018-11</t>
  </si>
  <si>
    <t>2018-12</t>
  </si>
  <si>
    <t>2018-13</t>
  </si>
  <si>
    <t>2018-14</t>
  </si>
  <si>
    <t>2018-15</t>
  </si>
  <si>
    <t>2018-16</t>
  </si>
  <si>
    <t>2018-17</t>
  </si>
  <si>
    <t>2018-18</t>
  </si>
  <si>
    <t>2018-19</t>
  </si>
  <si>
    <t>2018-20</t>
  </si>
  <si>
    <t>2018-21</t>
  </si>
  <si>
    <t>2018-22</t>
  </si>
  <si>
    <t>2018-23</t>
  </si>
  <si>
    <t>2018-24</t>
  </si>
  <si>
    <t>2018-25</t>
  </si>
  <si>
    <t>2018-26</t>
  </si>
  <si>
    <t>2018-27</t>
  </si>
  <si>
    <t>2018-28</t>
  </si>
  <si>
    <t>2018-29</t>
  </si>
  <si>
    <t>2018-30</t>
  </si>
  <si>
    <t>2018-31</t>
  </si>
  <si>
    <t>2018-32</t>
  </si>
  <si>
    <t>2018-33</t>
  </si>
  <si>
    <t>2018-34</t>
  </si>
  <si>
    <t>2018-35</t>
  </si>
  <si>
    <t>2018-36</t>
  </si>
  <si>
    <t>2018-37</t>
  </si>
  <si>
    <t>2018-38</t>
  </si>
  <si>
    <t>2018-39</t>
  </si>
  <si>
    <t>2018-40</t>
  </si>
  <si>
    <t>2018-41</t>
  </si>
  <si>
    <t>2018-42</t>
  </si>
  <si>
    <t>2018-43</t>
  </si>
  <si>
    <t>2018-44</t>
  </si>
  <si>
    <t>2018-45</t>
  </si>
  <si>
    <t>2018-46</t>
  </si>
  <si>
    <t>2018-47</t>
  </si>
  <si>
    <t>2018-48</t>
  </si>
  <si>
    <t>Monthly-Actual 2018</t>
  </si>
  <si>
    <t>Weekly-Actual 2018</t>
  </si>
  <si>
    <t>1/15-1/21</t>
  </si>
  <si>
    <t>2/1-2/11</t>
  </si>
  <si>
    <t>2/12-2/18</t>
  </si>
  <si>
    <t>2/19-2/25</t>
  </si>
  <si>
    <t>2/26-2/28</t>
  </si>
  <si>
    <t>3/1-3/11</t>
  </si>
  <si>
    <t>3/12-3/18</t>
  </si>
  <si>
    <t>3/19-3/25</t>
  </si>
  <si>
    <t>3/26-3/31</t>
  </si>
  <si>
    <t>4/1-4/8</t>
  </si>
  <si>
    <t>4/9-4/15</t>
  </si>
  <si>
    <t>4/16-4/22</t>
  </si>
  <si>
    <t>4/23-4/30</t>
  </si>
  <si>
    <t>5/1-5/6</t>
  </si>
  <si>
    <t>5/7-5/13</t>
  </si>
  <si>
    <t>5/14-5/20</t>
  </si>
  <si>
    <t>5/21-5/31</t>
  </si>
  <si>
    <t>6/1-6/10</t>
  </si>
  <si>
    <t>6/11-6/17</t>
  </si>
  <si>
    <t>6/18-6/24</t>
  </si>
  <si>
    <t>6/25-6/30</t>
  </si>
  <si>
    <t>7/1-7/8</t>
  </si>
  <si>
    <t>7/9-7/15</t>
  </si>
  <si>
    <t>7/16-7/22</t>
  </si>
  <si>
    <t>7/23-7/31</t>
  </si>
  <si>
    <t>8/1-8/12</t>
  </si>
  <si>
    <t>8/27-8/31</t>
  </si>
  <si>
    <t>8/13-8/19</t>
  </si>
  <si>
    <t>8/20-8/26</t>
  </si>
  <si>
    <t>9/1-9/9</t>
  </si>
  <si>
    <t>9/10-9/16</t>
  </si>
  <si>
    <t>9/17-9/23</t>
  </si>
  <si>
    <t>9/24-9/30</t>
  </si>
  <si>
    <t>Ameristar Exempt</t>
  </si>
  <si>
    <t>Ameristar Hourly 8Hr CA</t>
  </si>
  <si>
    <t>Ameristar Hourly 8Hr OK</t>
  </si>
  <si>
    <t>Ameristar Hourly 8Hr OK NL</t>
  </si>
  <si>
    <t>Ameristar Hourly 8Hr OK PT</t>
  </si>
  <si>
    <t>Ameristar Non Exempt</t>
  </si>
  <si>
    <t>Ameristar OK Temp</t>
  </si>
  <si>
    <t>Ameristar OK Temp No Lunch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</si>
</sst>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.0_);_(* \(#,##0.0\);_(* &quot;-&quot;??_);_(@_)"/>
    <numFmt numFmtId="166" formatCode="_(&quot;$&quot;* #,##0_);_(&quot;$&quot;* \(#,##0\);_(&quot;$&quot;* &quot;-&quot;??_);_(@_)"/>
    <numFmt numFmtId="167" formatCode="_(* #,##0_);_(* \(#,##0\);_(* &quot;-&quot;??_);_(@_)"/>
    <numFmt numFmtId="168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Verdana"/>
      <family val="2"/>
    </font>
    <font>
      <b/>
      <sz val="8"/>
      <name val="Verdana"/>
      <family val="2"/>
    </font>
    <font>
      <sz val="10"/>
      <name val="MS Sans Serif"/>
      <family val="2"/>
    </font>
    <font>
      <b/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4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44" fontId="1" fillId="0" borderId="0" applyFont="0" applyFill="0" applyBorder="0" applyAlignment="0" applyProtection="0"/>
  </cellStyleXfs>
  <cellXfs count="163">
    <xf numFmtId="0" fontId="0" fillId="0" borderId="0" xfId="0"/>
    <xf numFmtId="0" fontId="0" fillId="0" borderId="0" xfId="0" applyAlignment="1">
      <alignment horizontal="center"/>
    </xf>
    <xf numFmtId="43" fontId="0" fillId="0" borderId="0" xfId="2" applyFont="1"/>
    <xf numFmtId="43" fontId="0" fillId="0" borderId="0" xfId="0" applyNumberFormat="1"/>
    <xf numFmtId="164" fontId="0" fillId="0" borderId="0" xfId="1" applyNumberFormat="1" applyFont="1"/>
    <xf numFmtId="0" fontId="0" fillId="0" borderId="0" xfId="0" quotePrefix="1"/>
    <xf numFmtId="0" fontId="2" fillId="0" borderId="0" xfId="0" applyFont="1" applyFill="1" applyBorder="1"/>
    <xf numFmtId="3" fontId="2" fillId="0" borderId="0" xfId="0" applyNumberFormat="1" applyFont="1" applyFill="1" applyBorder="1" applyAlignment="1">
      <alignment horizontal="right"/>
    </xf>
    <xf numFmtId="0" fontId="3" fillId="0" borderId="1" xfId="0" applyFont="1" applyFill="1" applyBorder="1"/>
    <xf numFmtId="3" fontId="3" fillId="0" borderId="1" xfId="0" applyNumberFormat="1" applyFont="1" applyFill="1" applyBorder="1" applyAlignment="1">
      <alignment horizontal="right"/>
    </xf>
    <xf numFmtId="3" fontId="3" fillId="0" borderId="0" xfId="0" applyNumberFormat="1" applyFont="1" applyFill="1" applyBorder="1" applyAlignment="1">
      <alignment horizontal="right"/>
    </xf>
    <xf numFmtId="37" fontId="5" fillId="0" borderId="2" xfId="3" applyNumberFormat="1" applyFont="1" applyBorder="1" applyAlignment="1">
      <alignment vertical="center"/>
    </xf>
    <xf numFmtId="37" fontId="6" fillId="0" borderId="2" xfId="3" applyNumberFormat="1" applyFont="1" applyBorder="1" applyAlignment="1">
      <alignment horizontal="centerContinuous" vertical="center"/>
    </xf>
    <xf numFmtId="37" fontId="6" fillId="0" borderId="0" xfId="3" applyNumberFormat="1" applyFont="1" applyAlignment="1">
      <alignment vertical="center"/>
    </xf>
    <xf numFmtId="37" fontId="6" fillId="0" borderId="0" xfId="3" applyNumberFormat="1" applyFont="1" applyFill="1" applyAlignment="1">
      <alignment horizontal="center" vertical="center"/>
    </xf>
    <xf numFmtId="37" fontId="6" fillId="0" borderId="2" xfId="3" applyNumberFormat="1" applyFont="1" applyBorder="1" applyAlignment="1">
      <alignment horizontal="center" vertical="center"/>
    </xf>
    <xf numFmtId="37" fontId="7" fillId="0" borderId="0" xfId="3" applyNumberFormat="1" applyFont="1" applyFill="1" applyAlignment="1">
      <alignment vertical="center"/>
    </xf>
    <xf numFmtId="37" fontId="6" fillId="0" borderId="0" xfId="3" applyNumberFormat="1" applyFont="1" applyAlignment="1">
      <alignment horizontal="left" vertical="center" indent="1"/>
    </xf>
    <xf numFmtId="37" fontId="7" fillId="0" borderId="1" xfId="3" applyNumberFormat="1" applyFont="1" applyFill="1" applyBorder="1" applyAlignment="1">
      <alignment vertical="center"/>
    </xf>
    <xf numFmtId="37" fontId="7" fillId="0" borderId="0" xfId="3" applyNumberFormat="1" applyFont="1" applyFill="1" applyBorder="1" applyAlignment="1">
      <alignment vertical="center"/>
    </xf>
    <xf numFmtId="37" fontId="7" fillId="0" borderId="2" xfId="3" applyNumberFormat="1" applyFont="1" applyFill="1" applyBorder="1" applyAlignment="1">
      <alignment vertical="center"/>
    </xf>
    <xf numFmtId="37" fontId="6" fillId="0" borderId="0" xfId="3" applyNumberFormat="1" applyFont="1" applyAlignment="1">
      <alignment horizontal="left" vertical="center" indent="2"/>
    </xf>
    <xf numFmtId="37" fontId="7" fillId="0" borderId="3" xfId="3" applyNumberFormat="1" applyFont="1" applyFill="1" applyBorder="1" applyAlignment="1">
      <alignment vertical="center"/>
    </xf>
    <xf numFmtId="37" fontId="6" fillId="0" borderId="0" xfId="3" applyNumberFormat="1" applyFont="1" applyAlignment="1" applyProtection="1">
      <alignment horizontal="left" indent="1"/>
      <protection locked="0"/>
    </xf>
    <xf numFmtId="37" fontId="6" fillId="0" borderId="0" xfId="3" applyNumberFormat="1" applyFont="1" applyAlignment="1">
      <alignment horizontal="left"/>
    </xf>
    <xf numFmtId="3" fontId="0" fillId="0" borderId="0" xfId="0" applyNumberFormat="1"/>
    <xf numFmtId="37" fontId="0" fillId="0" borderId="0" xfId="0" applyNumberFormat="1"/>
    <xf numFmtId="17" fontId="0" fillId="0" borderId="0" xfId="0" applyNumberFormat="1" applyAlignment="1">
      <alignment horizontal="center"/>
    </xf>
    <xf numFmtId="0" fontId="0" fillId="0" borderId="4" xfId="0" applyBorder="1"/>
    <xf numFmtId="164" fontId="0" fillId="0" borderId="4" xfId="0" applyNumberFormat="1" applyBorder="1"/>
    <xf numFmtId="164" fontId="0" fillId="0" borderId="4" xfId="1" applyNumberFormat="1" applyFont="1" applyBorder="1"/>
    <xf numFmtId="17" fontId="0" fillId="0" borderId="4" xfId="0" applyNumberFormat="1" applyBorder="1"/>
    <xf numFmtId="0" fontId="0" fillId="0" borderId="0" xfId="0" applyNumberFormat="1"/>
    <xf numFmtId="0" fontId="0" fillId="0" borderId="5" xfId="0" applyBorder="1"/>
    <xf numFmtId="164" fontId="0" fillId="0" borderId="5" xfId="0" applyNumberFormat="1" applyBorder="1"/>
    <xf numFmtId="0" fontId="0" fillId="0" borderId="9" xfId="0" applyBorder="1"/>
    <xf numFmtId="0" fontId="0" fillId="0" borderId="10" xfId="0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1" applyNumberFormat="1" applyFont="1" applyBorder="1"/>
    <xf numFmtId="164" fontId="0" fillId="0" borderId="12" xfId="1" applyNumberFormat="1" applyFont="1" applyBorder="1"/>
    <xf numFmtId="164" fontId="0" fillId="0" borderId="13" xfId="1" applyNumberFormat="1" applyFont="1" applyBorder="1"/>
    <xf numFmtId="165" fontId="0" fillId="0" borderId="0" xfId="2" applyNumberFormat="1" applyFont="1"/>
    <xf numFmtId="165" fontId="0" fillId="0" borderId="4" xfId="2" applyNumberFormat="1" applyFont="1" applyBorder="1"/>
    <xf numFmtId="165" fontId="0" fillId="0" borderId="9" xfId="2" applyNumberFormat="1" applyFont="1" applyBorder="1"/>
    <xf numFmtId="165" fontId="0" fillId="0" borderId="10" xfId="2" applyNumberFormat="1" applyFont="1" applyBorder="1"/>
    <xf numFmtId="44" fontId="0" fillId="0" borderId="0" xfId="4" applyFont="1"/>
    <xf numFmtId="44" fontId="0" fillId="0" borderId="4" xfId="4" applyFont="1" applyBorder="1"/>
    <xf numFmtId="44" fontId="0" fillId="0" borderId="5" xfId="4" applyFont="1" applyBorder="1"/>
    <xf numFmtId="44" fontId="0" fillId="0" borderId="9" xfId="4" applyFont="1" applyBorder="1"/>
    <xf numFmtId="44" fontId="0" fillId="0" borderId="10" xfId="4" applyFont="1" applyBorder="1"/>
    <xf numFmtId="165" fontId="0" fillId="0" borderId="5" xfId="2" applyNumberFormat="1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165" fontId="0" fillId="0" borderId="6" xfId="2" applyNumberFormat="1" applyFont="1" applyBorder="1"/>
    <xf numFmtId="165" fontId="0" fillId="0" borderId="7" xfId="2" applyNumberFormat="1" applyFont="1" applyBorder="1"/>
    <xf numFmtId="165" fontId="0" fillId="0" borderId="8" xfId="2" applyNumberFormat="1" applyFont="1" applyBorder="1"/>
    <xf numFmtId="165" fontId="0" fillId="0" borderId="11" xfId="2" applyNumberFormat="1" applyFont="1" applyBorder="1"/>
    <xf numFmtId="165" fontId="0" fillId="0" borderId="12" xfId="2" applyNumberFormat="1" applyFont="1" applyBorder="1"/>
    <xf numFmtId="165" fontId="0" fillId="0" borderId="13" xfId="2" applyNumberFormat="1" applyFont="1" applyBorder="1"/>
    <xf numFmtId="166" fontId="0" fillId="0" borderId="4" xfId="4" applyNumberFormat="1" applyFont="1" applyBorder="1"/>
    <xf numFmtId="9" fontId="0" fillId="0" borderId="9" xfId="1" applyFont="1" applyBorder="1"/>
    <xf numFmtId="164" fontId="0" fillId="0" borderId="9" xfId="1" applyNumberFormat="1" applyFont="1" applyBorder="1"/>
    <xf numFmtId="0" fontId="0" fillId="0" borderId="0" xfId="0"/>
    <xf numFmtId="0" fontId="9" fillId="0" borderId="0" xfId="0" applyFont="1" applyAlignment="1">
      <alignment horizontal="center"/>
    </xf>
    <xf numFmtId="0" fontId="8" fillId="0" borderId="0" xfId="0" applyNumberFormat="1" applyFont="1"/>
    <xf numFmtId="0" fontId="8" fillId="0" borderId="0" xfId="0" applyFont="1"/>
    <xf numFmtId="165" fontId="8" fillId="0" borderId="0" xfId="2" applyNumberFormat="1" applyFont="1"/>
    <xf numFmtId="167" fontId="8" fillId="0" borderId="0" xfId="2" applyNumberFormat="1" applyFont="1"/>
    <xf numFmtId="0" fontId="8" fillId="0" borderId="0" xfId="0" applyFont="1" applyFill="1"/>
    <xf numFmtId="167" fontId="8" fillId="2" borderId="0" xfId="2" applyNumberFormat="1" applyFont="1" applyFill="1"/>
    <xf numFmtId="41" fontId="8" fillId="2" borderId="0" xfId="2" applyNumberFormat="1" applyFont="1" applyFill="1" applyBorder="1"/>
    <xf numFmtId="41" fontId="8" fillId="2" borderId="0" xfId="2" applyNumberFormat="1" applyFont="1" applyFill="1"/>
    <xf numFmtId="164" fontId="8" fillId="2" borderId="9" xfId="0" applyNumberFormat="1" applyFont="1" applyFill="1" applyBorder="1"/>
    <xf numFmtId="164" fontId="8" fillId="2" borderId="4" xfId="0" applyNumberFormat="1" applyFont="1" applyFill="1" applyBorder="1"/>
    <xf numFmtId="164" fontId="8" fillId="2" borderId="10" xfId="0" applyNumberFormat="1" applyFont="1" applyFill="1" applyBorder="1"/>
    <xf numFmtId="165" fontId="8" fillId="2" borderId="4" xfId="2" applyNumberFormat="1" applyFont="1" applyFill="1" applyBorder="1" applyAlignment="1">
      <alignment horizontal="right"/>
    </xf>
    <xf numFmtId="165" fontId="8" fillId="2" borderId="4" xfId="2" applyNumberFormat="1" applyFont="1" applyFill="1" applyBorder="1"/>
    <xf numFmtId="165" fontId="8" fillId="2" borderId="5" xfId="2" applyNumberFormat="1" applyFont="1" applyFill="1" applyBorder="1"/>
    <xf numFmtId="165" fontId="8" fillId="2" borderId="10" xfId="2" applyNumberFormat="1" applyFont="1" applyFill="1" applyBorder="1"/>
    <xf numFmtId="165" fontId="8" fillId="2" borderId="20" xfId="2" applyNumberFormat="1" applyFont="1" applyFill="1" applyBorder="1"/>
    <xf numFmtId="165" fontId="8" fillId="2" borderId="9" xfId="2" applyNumberFormat="1" applyFont="1" applyFill="1" applyBorder="1"/>
    <xf numFmtId="164" fontId="8" fillId="3" borderId="4" xfId="0" applyNumberFormat="1" applyFont="1" applyFill="1" applyBorder="1"/>
    <xf numFmtId="164" fontId="8" fillId="3" borderId="5" xfId="0" applyNumberFormat="1" applyFont="1" applyFill="1" applyBorder="1"/>
    <xf numFmtId="164" fontId="8" fillId="3" borderId="20" xfId="0" applyNumberFormat="1" applyFont="1" applyFill="1" applyBorder="1"/>
    <xf numFmtId="164" fontId="8" fillId="3" borderId="9" xfId="0" applyNumberFormat="1" applyFont="1" applyFill="1" applyBorder="1"/>
    <xf numFmtId="164" fontId="8" fillId="3" borderId="10" xfId="0" applyNumberFormat="1" applyFont="1" applyFill="1" applyBorder="1"/>
    <xf numFmtId="164" fontId="8" fillId="3" borderId="9" xfId="1" applyNumberFormat="1" applyFont="1" applyFill="1" applyBorder="1"/>
    <xf numFmtId="164" fontId="8" fillId="3" borderId="11" xfId="1" applyNumberFormat="1" applyFont="1" applyFill="1" applyBorder="1"/>
    <xf numFmtId="164" fontId="8" fillId="3" borderId="12" xfId="1" applyNumberFormat="1" applyFont="1" applyFill="1" applyBorder="1"/>
    <xf numFmtId="164" fontId="8" fillId="3" borderId="13" xfId="1" applyNumberFormat="1" applyFont="1" applyFill="1" applyBorder="1"/>
    <xf numFmtId="164" fontId="8" fillId="3" borderId="21" xfId="1" applyNumberFormat="1" applyFont="1" applyFill="1" applyBorder="1"/>
    <xf numFmtId="164" fontId="8" fillId="3" borderId="22" xfId="1" applyNumberFormat="1" applyFont="1" applyFill="1" applyBorder="1"/>
    <xf numFmtId="17" fontId="8" fillId="4" borderId="32" xfId="0" applyNumberFormat="1" applyFont="1" applyFill="1" applyBorder="1" applyAlignment="1">
      <alignment horizontal="center"/>
    </xf>
    <xf numFmtId="164" fontId="8" fillId="3" borderId="23" xfId="0" applyNumberFormat="1" applyFont="1" applyFill="1" applyBorder="1"/>
    <xf numFmtId="0" fontId="8" fillId="4" borderId="32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17" fontId="8" fillId="4" borderId="33" xfId="0" applyNumberFormat="1" applyFont="1" applyFill="1" applyBorder="1" applyAlignment="1">
      <alignment horizontal="center"/>
    </xf>
    <xf numFmtId="17" fontId="8" fillId="4" borderId="34" xfId="0" applyNumberFormat="1" applyFont="1" applyFill="1" applyBorder="1" applyAlignment="1">
      <alignment horizontal="center"/>
    </xf>
    <xf numFmtId="164" fontId="8" fillId="3" borderId="11" xfId="0" applyNumberFormat="1" applyFont="1" applyFill="1" applyBorder="1"/>
    <xf numFmtId="164" fontId="8" fillId="3" borderId="12" xfId="0" applyNumberFormat="1" applyFont="1" applyFill="1" applyBorder="1"/>
    <xf numFmtId="164" fontId="8" fillId="3" borderId="13" xfId="0" applyNumberFormat="1" applyFont="1" applyFill="1" applyBorder="1"/>
    <xf numFmtId="0" fontId="8" fillId="4" borderId="34" xfId="0" applyFont="1" applyFill="1" applyBorder="1" applyAlignment="1">
      <alignment horizontal="center"/>
    </xf>
    <xf numFmtId="164" fontId="8" fillId="3" borderId="25" xfId="0" applyNumberFormat="1" applyFont="1" applyFill="1" applyBorder="1"/>
    <xf numFmtId="0" fontId="8" fillId="0" borderId="0" xfId="0" applyFont="1" applyAlignment="1">
      <alignment horizontal="center"/>
    </xf>
    <xf numFmtId="167" fontId="8" fillId="0" borderId="0" xfId="2" applyNumberFormat="1" applyFont="1" applyFill="1" applyBorder="1" applyAlignment="1">
      <alignment horizontal="left"/>
    </xf>
    <xf numFmtId="165" fontId="8" fillId="3" borderId="11" xfId="2" applyNumberFormat="1" applyFont="1" applyFill="1" applyBorder="1"/>
    <xf numFmtId="165" fontId="8" fillId="3" borderId="12" xfId="2" applyNumberFormat="1" applyFont="1" applyFill="1" applyBorder="1"/>
    <xf numFmtId="165" fontId="8" fillId="3" borderId="13" xfId="2" applyNumberFormat="1" applyFont="1" applyFill="1" applyBorder="1"/>
    <xf numFmtId="165" fontId="8" fillId="2" borderId="9" xfId="2" applyNumberFormat="1" applyFont="1" applyFill="1" applyBorder="1" applyAlignment="1">
      <alignment horizontal="right"/>
    </xf>
    <xf numFmtId="165" fontId="8" fillId="2" borderId="10" xfId="2" applyNumberFormat="1" applyFont="1" applyFill="1" applyBorder="1" applyAlignment="1">
      <alignment horizontal="right"/>
    </xf>
    <xf numFmtId="0" fontId="8" fillId="4" borderId="25" xfId="0" applyFont="1" applyFill="1" applyBorder="1" applyAlignment="1">
      <alignment horizontal="center"/>
    </xf>
    <xf numFmtId="0" fontId="8" fillId="4" borderId="23" xfId="0" applyFont="1" applyFill="1" applyBorder="1" applyAlignment="1">
      <alignment horizontal="center"/>
    </xf>
    <xf numFmtId="0" fontId="8" fillId="4" borderId="26" xfId="0" applyFont="1" applyFill="1" applyBorder="1" applyAlignment="1">
      <alignment horizontal="center"/>
    </xf>
    <xf numFmtId="0" fontId="8" fillId="4" borderId="29" xfId="0" applyFont="1" applyFill="1" applyBorder="1" applyAlignment="1">
      <alignment horizontal="center"/>
    </xf>
    <xf numFmtId="0" fontId="8" fillId="4" borderId="24" xfId="0" applyFont="1" applyFill="1" applyBorder="1" applyAlignment="1">
      <alignment horizontal="center"/>
    </xf>
    <xf numFmtId="0" fontId="8" fillId="4" borderId="36" xfId="0" applyFont="1" applyFill="1" applyBorder="1" applyAlignment="1">
      <alignment horizontal="center"/>
    </xf>
    <xf numFmtId="0" fontId="8" fillId="4" borderId="27" xfId="0" applyFont="1" applyFill="1" applyBorder="1" applyAlignment="1">
      <alignment horizontal="center"/>
    </xf>
    <xf numFmtId="0" fontId="8" fillId="4" borderId="28" xfId="0" applyFont="1" applyFill="1" applyBorder="1" applyAlignment="1">
      <alignment horizontal="center"/>
    </xf>
    <xf numFmtId="164" fontId="8" fillId="3" borderId="39" xfId="0" applyNumberFormat="1" applyFont="1" applyFill="1" applyBorder="1"/>
    <xf numFmtId="0" fontId="10" fillId="5" borderId="0" xfId="0" applyFont="1" applyFill="1" applyAlignment="1">
      <alignment horizontal="center"/>
    </xf>
    <xf numFmtId="43" fontId="8" fillId="0" borderId="0" xfId="0" applyNumberFormat="1" applyFont="1" applyFill="1"/>
    <xf numFmtId="165" fontId="0" fillId="0" borderId="0" xfId="0" applyNumberFormat="1"/>
    <xf numFmtId="165" fontId="8" fillId="0" borderId="0" xfId="0" applyNumberFormat="1" applyFont="1"/>
    <xf numFmtId="167" fontId="0" fillId="0" borderId="0" xfId="0" applyNumberFormat="1"/>
    <xf numFmtId="164" fontId="8" fillId="0" borderId="0" xfId="1" applyNumberFormat="1" applyFont="1"/>
    <xf numFmtId="165" fontId="8" fillId="2" borderId="5" xfId="2" applyNumberFormat="1" applyFont="1" applyFill="1" applyBorder="1" applyAlignment="1">
      <alignment horizontal="right"/>
    </xf>
    <xf numFmtId="164" fontId="8" fillId="3" borderId="21" xfId="0" applyNumberFormat="1" applyFont="1" applyFill="1" applyBorder="1"/>
    <xf numFmtId="10" fontId="0" fillId="0" borderId="0" xfId="0" applyNumberFormat="1"/>
    <xf numFmtId="17" fontId="8" fillId="4" borderId="32" xfId="0" applyNumberFormat="1" applyFont="1" applyFill="1" applyBorder="1" applyAlignment="1">
      <alignment horizontal="center"/>
    </xf>
    <xf numFmtId="17" fontId="8" fillId="4" borderId="33" xfId="0" applyNumberFormat="1" applyFont="1" applyFill="1" applyBorder="1" applyAlignment="1">
      <alignment horizontal="center"/>
    </xf>
    <xf numFmtId="17" fontId="8" fillId="4" borderId="34" xfId="0" applyNumberFormat="1" applyFont="1" applyFill="1" applyBorder="1" applyAlignment="1">
      <alignment horizontal="center"/>
    </xf>
    <xf numFmtId="16" fontId="10" fillId="5" borderId="0" xfId="0" applyNumberFormat="1" applyFont="1" applyFill="1" applyAlignment="1">
      <alignment horizontal="center"/>
    </xf>
    <xf numFmtId="43" fontId="8" fillId="0" borderId="0" xfId="0" applyNumberFormat="1" applyFont="1"/>
    <xf numFmtId="43" fontId="8" fillId="0" borderId="0" xfId="2" applyFont="1"/>
    <xf numFmtId="14" fontId="8" fillId="0" borderId="0" xfId="0" applyNumberFormat="1" applyFont="1"/>
    <xf numFmtId="168" fontId="8" fillId="0" borderId="0" xfId="1" applyNumberFormat="1" applyFont="1"/>
    <xf numFmtId="10" fontId="8" fillId="0" borderId="0" xfId="1" applyNumberFormat="1" applyFont="1"/>
    <xf numFmtId="0" fontId="0" fillId="0" borderId="5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7" fontId="0" fillId="0" borderId="6" xfId="0" applyNumberFormat="1" applyBorder="1" applyAlignment="1">
      <alignment horizontal="center"/>
    </xf>
    <xf numFmtId="17" fontId="0" fillId="0" borderId="7" xfId="0" applyNumberFormat="1" applyBorder="1" applyAlignment="1">
      <alignment horizontal="center"/>
    </xf>
    <xf numFmtId="17" fontId="0" fillId="0" borderId="8" xfId="0" applyNumberFormat="1" applyBorder="1" applyAlignment="1">
      <alignment horizontal="center"/>
    </xf>
    <xf numFmtId="17" fontId="0" fillId="0" borderId="14" xfId="0" applyNumberFormat="1" applyBorder="1" applyAlignment="1">
      <alignment horizontal="center"/>
    </xf>
    <xf numFmtId="17" fontId="0" fillId="0" borderId="15" xfId="0" applyNumberFormat="1" applyBorder="1" applyAlignment="1">
      <alignment horizontal="center"/>
    </xf>
    <xf numFmtId="17" fontId="0" fillId="0" borderId="16" xfId="0" applyNumberFormat="1" applyBorder="1" applyAlignment="1">
      <alignment horizontal="center"/>
    </xf>
    <xf numFmtId="17" fontId="8" fillId="4" borderId="30" xfId="0" applyNumberFormat="1" applyFont="1" applyFill="1" applyBorder="1" applyAlignment="1">
      <alignment horizontal="center"/>
    </xf>
    <xf numFmtId="17" fontId="8" fillId="4" borderId="31" xfId="0" applyNumberFormat="1" applyFont="1" applyFill="1" applyBorder="1" applyAlignment="1">
      <alignment horizontal="center"/>
    </xf>
    <xf numFmtId="17" fontId="8" fillId="4" borderId="35" xfId="0" applyNumberFormat="1" applyFont="1" applyFill="1" applyBorder="1" applyAlignment="1">
      <alignment horizontal="center"/>
    </xf>
    <xf numFmtId="17" fontId="8" fillId="4" borderId="38" xfId="0" applyNumberFormat="1" applyFont="1" applyFill="1" applyBorder="1" applyAlignment="1">
      <alignment horizontal="center"/>
    </xf>
    <xf numFmtId="17" fontId="8" fillId="4" borderId="33" xfId="0" applyNumberFormat="1" applyFont="1" applyFill="1" applyBorder="1" applyAlignment="1">
      <alignment horizontal="center"/>
    </xf>
    <xf numFmtId="17" fontId="8" fillId="4" borderId="34" xfId="0" applyNumberFormat="1" applyFont="1" applyFill="1" applyBorder="1" applyAlignment="1">
      <alignment horizontal="center"/>
    </xf>
    <xf numFmtId="17" fontId="8" fillId="4" borderId="32" xfId="0" applyNumberFormat="1" applyFont="1" applyFill="1" applyBorder="1" applyAlignment="1">
      <alignment horizontal="center"/>
    </xf>
    <xf numFmtId="17" fontId="8" fillId="4" borderId="37" xfId="0" applyNumberFormat="1" applyFont="1" applyFill="1" applyBorder="1" applyAlignment="1">
      <alignment horizontal="center"/>
    </xf>
    <xf numFmtId="1" fontId="8" fillId="4" borderId="32" xfId="0" applyNumberFormat="1" applyFont="1" applyFill="1" applyBorder="1" applyAlignment="1">
      <alignment horizontal="center"/>
    </xf>
    <xf numFmtId="1" fontId="8" fillId="4" borderId="33" xfId="0" applyNumberFormat="1" applyFont="1" applyFill="1" applyBorder="1" applyAlignment="1">
      <alignment horizontal="center"/>
    </xf>
    <xf numFmtId="1" fontId="8" fillId="4" borderId="37" xfId="0" applyNumberFormat="1" applyFont="1" applyFill="1" applyBorder="1" applyAlignment="1">
      <alignment horizontal="center"/>
    </xf>
    <xf numFmtId="1" fontId="8" fillId="4" borderId="34" xfId="0" applyNumberFormat="1" applyFont="1" applyFill="1" applyBorder="1" applyAlignment="1">
      <alignment horizontal="center"/>
    </xf>
    <xf numFmtId="49" fontId="8" fillId="4" borderId="32" xfId="0" applyNumberFormat="1" applyFont="1" applyFill="1" applyBorder="1" applyAlignment="1">
      <alignment horizontal="center"/>
    </xf>
    <xf numFmtId="49" fontId="8" fillId="4" borderId="33" xfId="0" applyNumberFormat="1" applyFont="1" applyFill="1" applyBorder="1" applyAlignment="1">
      <alignment horizontal="center"/>
    </xf>
    <xf numFmtId="49" fontId="8" fillId="4" borderId="37" xfId="0" applyNumberFormat="1" applyFont="1" applyFill="1" applyBorder="1" applyAlignment="1">
      <alignment horizontal="center"/>
    </xf>
    <xf numFmtId="49" fontId="8" fillId="4" borderId="34" xfId="0" applyNumberFormat="1" applyFont="1" applyFill="1" applyBorder="1" applyAlignment="1">
      <alignment horizontal="center"/>
    </xf>
  </cellXfs>
  <cellStyles count="5">
    <cellStyle name="Comma" xfId="2" builtinId="3"/>
    <cellStyle name="Currency" xfId="4" builtinId="4"/>
    <cellStyle name="Normal" xfId="0" builtinId="0"/>
    <cellStyle name="Normal_9909Burden" xfId="3"/>
    <cellStyle name="Percent" xfId="1" builtinId="5"/>
  </cellStyles>
  <dxfs count="0"/>
  <tableStyles count="0" defaultTableStyle="TableStyleMedium2" defaultPivotStyle="PivotStyleLight16"/>
  <colors>
    <mruColors>
      <color rgb="FF1F4E79"/>
      <color rgb="FF5B9BD5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 Weekly Productivity Measure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447391650378814E-2"/>
          <c:y val="7.1199843646719566E-2"/>
          <c:w val="0.90080845672787246"/>
          <c:h val="0.807091129143063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'PC% - AAG'!$A$11</c:f>
              <c:strCache>
                <c:ptCount val="1"/>
                <c:pt idx="0">
                  <c:v>Weekly-Actual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'PC% - AAG'!$B$10:$BJ$10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'PC% - AAG'!$B$11:$BJ$11</c:f>
              <c:numCache>
                <c:formatCode>0.0%</c:formatCode>
                <c:ptCount val="61"/>
                <c:pt idx="0">
                  <c:v>0.42135450048480666</c:v>
                </c:pt>
                <c:pt idx="1">
                  <c:v>0.41623305684806799</c:v>
                </c:pt>
                <c:pt idx="2">
                  <c:v>0.41652353143249743</c:v>
                </c:pt>
                <c:pt idx="3">
                  <c:v>0.41391409072661578</c:v>
                </c:pt>
                <c:pt idx="4">
                  <c:v>0.41343508280122515</c:v>
                </c:pt>
                <c:pt idx="5">
                  <c:v>0.41343508280122515</c:v>
                </c:pt>
                <c:pt idx="6">
                  <c:v>0.41343508280122515</c:v>
                </c:pt>
                <c:pt idx="7">
                  <c:v>0.41343508280122515</c:v>
                </c:pt>
                <c:pt idx="8">
                  <c:v>0.4170032778034084</c:v>
                </c:pt>
                <c:pt idx="9">
                  <c:v>0.4170032778034084</c:v>
                </c:pt>
                <c:pt idx="10">
                  <c:v>0.4170032778034084</c:v>
                </c:pt>
                <c:pt idx="11">
                  <c:v>0.4170032778034084</c:v>
                </c:pt>
                <c:pt idx="12">
                  <c:v>0.41869101944367298</c:v>
                </c:pt>
                <c:pt idx="13">
                  <c:v>0.41869101944367298</c:v>
                </c:pt>
                <c:pt idx="14">
                  <c:v>0.41869101944367298</c:v>
                </c:pt>
                <c:pt idx="15">
                  <c:v>0.41869101944367298</c:v>
                </c:pt>
                <c:pt idx="16">
                  <c:v>0.42160583568194165</c:v>
                </c:pt>
                <c:pt idx="17">
                  <c:v>0.42160583568194165</c:v>
                </c:pt>
                <c:pt idx="18">
                  <c:v>0.42160583568194165</c:v>
                </c:pt>
                <c:pt idx="19">
                  <c:v>0.42160583568194165</c:v>
                </c:pt>
                <c:pt idx="20">
                  <c:v>0.42160583568194165</c:v>
                </c:pt>
                <c:pt idx="21">
                  <c:v>0.42387082248767394</c:v>
                </c:pt>
                <c:pt idx="22">
                  <c:v>0.42430378553413733</c:v>
                </c:pt>
                <c:pt idx="23">
                  <c:v>0.42473763398560377</c:v>
                </c:pt>
                <c:pt idx="24">
                  <c:v>0.42560799798967258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25-4B26-9A19-F90A6F978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5929600"/>
        <c:axId val="195931136"/>
      </c:barChart>
      <c:lineChart>
        <c:grouping val="standard"/>
        <c:varyColors val="0"/>
        <c:ser>
          <c:idx val="2"/>
          <c:order val="2"/>
          <c:tx>
            <c:strRef>
              <c:f>'PC% - AAG'!$A$13</c:f>
              <c:strCache>
                <c:ptCount val="1"/>
                <c:pt idx="0">
                  <c:v>Base 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'PC% - AAG'!$B$10:$BJ$10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'PC% - AAG'!$B$13:$BJ$13</c:f>
              <c:numCache>
                <c:formatCode>0.0%</c:formatCode>
                <c:ptCount val="61"/>
                <c:pt idx="0">
                  <c:v>0.42</c:v>
                </c:pt>
                <c:pt idx="1">
                  <c:v>0.42</c:v>
                </c:pt>
                <c:pt idx="2">
                  <c:v>0.42</c:v>
                </c:pt>
                <c:pt idx="3">
                  <c:v>0.42</c:v>
                </c:pt>
                <c:pt idx="4">
                  <c:v>0.41637646001610223</c:v>
                </c:pt>
                <c:pt idx="5">
                  <c:v>0.41637646001610223</c:v>
                </c:pt>
                <c:pt idx="6">
                  <c:v>0.41637646001610223</c:v>
                </c:pt>
                <c:pt idx="7">
                  <c:v>0.41637646001610223</c:v>
                </c:pt>
                <c:pt idx="8">
                  <c:v>0.41637646001610223</c:v>
                </c:pt>
                <c:pt idx="9">
                  <c:v>0.41637646001610223</c:v>
                </c:pt>
                <c:pt idx="10">
                  <c:v>0.41637646001610223</c:v>
                </c:pt>
                <c:pt idx="11">
                  <c:v>0.41637646001610223</c:v>
                </c:pt>
                <c:pt idx="12">
                  <c:v>0.41637646001610223</c:v>
                </c:pt>
                <c:pt idx="13">
                  <c:v>0.41637646001610223</c:v>
                </c:pt>
                <c:pt idx="14">
                  <c:v>0.41637646001610223</c:v>
                </c:pt>
                <c:pt idx="15">
                  <c:v>0.41637646001610223</c:v>
                </c:pt>
                <c:pt idx="16">
                  <c:v>0.41637646001610223</c:v>
                </c:pt>
                <c:pt idx="17">
                  <c:v>0.41637646001610223</c:v>
                </c:pt>
                <c:pt idx="18">
                  <c:v>0.41637646001610223</c:v>
                </c:pt>
                <c:pt idx="19">
                  <c:v>0.41637646001610223</c:v>
                </c:pt>
                <c:pt idx="20">
                  <c:v>0.41637646001610223</c:v>
                </c:pt>
                <c:pt idx="21">
                  <c:v>0.41637646001610223</c:v>
                </c:pt>
                <c:pt idx="22">
                  <c:v>0.41637646001610223</c:v>
                </c:pt>
                <c:pt idx="23">
                  <c:v>0.41637646001610223</c:v>
                </c:pt>
                <c:pt idx="24">
                  <c:v>0.41637646001610223</c:v>
                </c:pt>
                <c:pt idx="25">
                  <c:v>0.41637646001610223</c:v>
                </c:pt>
                <c:pt idx="26">
                  <c:v>0.41637646001610223</c:v>
                </c:pt>
                <c:pt idx="27">
                  <c:v>0.41637646001610223</c:v>
                </c:pt>
                <c:pt idx="28">
                  <c:v>0.41637646001610223</c:v>
                </c:pt>
                <c:pt idx="29">
                  <c:v>0.41637646001610223</c:v>
                </c:pt>
                <c:pt idx="30">
                  <c:v>0.41637646001610223</c:v>
                </c:pt>
                <c:pt idx="31">
                  <c:v>0.41637646001610223</c:v>
                </c:pt>
                <c:pt idx="32">
                  <c:v>0.41637646001610223</c:v>
                </c:pt>
                <c:pt idx="33">
                  <c:v>0.41637646001610223</c:v>
                </c:pt>
                <c:pt idx="34">
                  <c:v>0.41637646001610223</c:v>
                </c:pt>
                <c:pt idx="35">
                  <c:v>0.41637646001610223</c:v>
                </c:pt>
                <c:pt idx="36">
                  <c:v>0.41637646001610223</c:v>
                </c:pt>
                <c:pt idx="37">
                  <c:v>0.41637646001610223</c:v>
                </c:pt>
                <c:pt idx="38">
                  <c:v>0.41637646001610223</c:v>
                </c:pt>
                <c:pt idx="39">
                  <c:v>0.41637646001610223</c:v>
                </c:pt>
                <c:pt idx="40">
                  <c:v>0.41637646001610223</c:v>
                </c:pt>
                <c:pt idx="41">
                  <c:v>0.41637646001610223</c:v>
                </c:pt>
                <c:pt idx="42">
                  <c:v>0.41637646001610223</c:v>
                </c:pt>
                <c:pt idx="43">
                  <c:v>0.41637646001610223</c:v>
                </c:pt>
                <c:pt idx="44">
                  <c:v>0.41637646001610223</c:v>
                </c:pt>
                <c:pt idx="45">
                  <c:v>0.41637646001610223</c:v>
                </c:pt>
                <c:pt idx="46">
                  <c:v>0.41637646001610223</c:v>
                </c:pt>
                <c:pt idx="47">
                  <c:v>0.41637646001610223</c:v>
                </c:pt>
                <c:pt idx="48">
                  <c:v>0.41637646001610223</c:v>
                </c:pt>
                <c:pt idx="49">
                  <c:v>0.41637646001610223</c:v>
                </c:pt>
                <c:pt idx="50">
                  <c:v>0.41637646001610223</c:v>
                </c:pt>
                <c:pt idx="51">
                  <c:v>0.41637646001610223</c:v>
                </c:pt>
                <c:pt idx="52">
                  <c:v>0.41637646001610223</c:v>
                </c:pt>
                <c:pt idx="53">
                  <c:v>0.41637646001610223</c:v>
                </c:pt>
                <c:pt idx="54">
                  <c:v>0.41637646001610223</c:v>
                </c:pt>
                <c:pt idx="55">
                  <c:v>0.41637646001610223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25-4B26-9A19-F90A6F978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29600"/>
        <c:axId val="195931136"/>
      </c:lineChart>
      <c:lineChart>
        <c:grouping val="standard"/>
        <c:varyColors val="0"/>
        <c:ser>
          <c:idx val="1"/>
          <c:order val="1"/>
          <c:tx>
            <c:strRef>
              <c:f>'PC% - AAG'!$A$12</c:f>
              <c:strCache>
                <c:ptCount val="1"/>
                <c:pt idx="0">
                  <c:v>YTD % improvement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'PC% - AAG'!$B$10:$BJ$10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'PC% - AAG'!$B$12:$BJ$12</c:f>
              <c:numCache>
                <c:formatCode>0.0%</c:formatCode>
                <c:ptCount val="61"/>
                <c:pt idx="0">
                  <c:v>3.2250011543015766E-3</c:v>
                </c:pt>
                <c:pt idx="1">
                  <c:v>-2.8719555561016463E-3</c:v>
                </c:pt>
                <c:pt idx="2">
                  <c:v>-4.6737390751017127E-3</c:v>
                </c:pt>
                <c:pt idx="3">
                  <c:v>-7.1278693500073098E-3</c:v>
                </c:pt>
                <c:pt idx="4">
                  <c:v>-7.0642255202499893E-3</c:v>
                </c:pt>
                <c:pt idx="5">
                  <c:v>-7.0642255202499893E-3</c:v>
                </c:pt>
                <c:pt idx="6">
                  <c:v>-7.0642255202499893E-3</c:v>
                </c:pt>
                <c:pt idx="7">
                  <c:v>-7.0642255202499893E-3</c:v>
                </c:pt>
                <c:pt idx="8">
                  <c:v>-4.1497708195136207E-3</c:v>
                </c:pt>
                <c:pt idx="9">
                  <c:v>-2.7145879025908259E-3</c:v>
                </c:pt>
                <c:pt idx="10">
                  <c:v>-1.8604047008611291E-3</c:v>
                </c:pt>
                <c:pt idx="11">
                  <c:v>-1.2938063346848994E-3</c:v>
                </c:pt>
                <c:pt idx="12">
                  <c:v>1.1773799381686878E-4</c:v>
                </c:pt>
                <c:pt idx="13">
                  <c:v>1.0470902567227824E-3</c:v>
                </c:pt>
                <c:pt idx="14">
                  <c:v>1.7052847421650252E-3</c:v>
                </c:pt>
                <c:pt idx="15">
                  <c:v>2.1958866526912146E-3</c:v>
                </c:pt>
                <c:pt idx="16">
                  <c:v>3.4312672685985479E-3</c:v>
                </c:pt>
                <c:pt idx="17">
                  <c:v>4.4034874260761026E-3</c:v>
                </c:pt>
                <c:pt idx="18">
                  <c:v>5.1885406261027445E-3</c:v>
                </c:pt>
                <c:pt idx="19">
                  <c:v>5.8357297638433892E-3</c:v>
                </c:pt>
                <c:pt idx="20">
                  <c:v>6.3784391982590893E-3</c:v>
                </c:pt>
                <c:pt idx="21">
                  <c:v>7.6739401448757683E-3</c:v>
                </c:pt>
                <c:pt idx="22">
                  <c:v>8.8128101668791814E-3</c:v>
                </c:pt>
                <c:pt idx="23">
                  <c:v>9.8381699732430494E-3</c:v>
                </c:pt>
                <c:pt idx="24">
                  <c:v>1.0864905070296027E-2</c:v>
                </c:pt>
                <c:pt idx="25">
                  <c:v>1.0864905070296027E-2</c:v>
                </c:pt>
                <c:pt idx="26">
                  <c:v>1.0864905070296027E-2</c:v>
                </c:pt>
                <c:pt idx="27">
                  <c:v>1.0864905070296027E-2</c:v>
                </c:pt>
                <c:pt idx="28">
                  <c:v>1.0864905070296027E-2</c:v>
                </c:pt>
                <c:pt idx="29">
                  <c:v>1.0864905070296027E-2</c:v>
                </c:pt>
                <c:pt idx="30">
                  <c:v>1.0864905070296027E-2</c:v>
                </c:pt>
                <c:pt idx="31">
                  <c:v>1.0864905070296027E-2</c:v>
                </c:pt>
                <c:pt idx="32">
                  <c:v>1.0864905070296027E-2</c:v>
                </c:pt>
                <c:pt idx="33">
                  <c:v>1.0864905070296027E-2</c:v>
                </c:pt>
                <c:pt idx="34">
                  <c:v>1.0864905070296027E-2</c:v>
                </c:pt>
                <c:pt idx="35">
                  <c:v>1.0864905070296027E-2</c:v>
                </c:pt>
                <c:pt idx="36">
                  <c:v>1.0864905070296027E-2</c:v>
                </c:pt>
                <c:pt idx="37">
                  <c:v>1.0864905070296027E-2</c:v>
                </c:pt>
                <c:pt idx="38">
                  <c:v>1.0864905070296027E-2</c:v>
                </c:pt>
                <c:pt idx="39">
                  <c:v>1.0864905070296027E-2</c:v>
                </c:pt>
                <c:pt idx="40">
                  <c:v>1.0864905070296027E-2</c:v>
                </c:pt>
                <c:pt idx="41">
                  <c:v>1.0864905070296027E-2</c:v>
                </c:pt>
                <c:pt idx="42">
                  <c:v>1.0864905070296027E-2</c:v>
                </c:pt>
                <c:pt idx="43">
                  <c:v>1.0864905070296027E-2</c:v>
                </c:pt>
                <c:pt idx="44">
                  <c:v>1.0864905070296027E-2</c:v>
                </c:pt>
                <c:pt idx="45">
                  <c:v>1.0864905070296027E-2</c:v>
                </c:pt>
                <c:pt idx="46">
                  <c:v>1.0864905070296027E-2</c:v>
                </c:pt>
                <c:pt idx="47">
                  <c:v>1.0864905070296027E-2</c:v>
                </c:pt>
                <c:pt idx="48">
                  <c:v>1.0864905070296027E-2</c:v>
                </c:pt>
                <c:pt idx="49">
                  <c:v>1.0864905070296027E-2</c:v>
                </c:pt>
                <c:pt idx="50">
                  <c:v>1.0864905070296027E-2</c:v>
                </c:pt>
                <c:pt idx="51">
                  <c:v>1.0864905070296027E-2</c:v>
                </c:pt>
                <c:pt idx="52">
                  <c:v>1.0864905070296027E-2</c:v>
                </c:pt>
                <c:pt idx="53">
                  <c:v>1.0864905070296027E-2</c:v>
                </c:pt>
                <c:pt idx="54">
                  <c:v>1.0864905070296027E-2</c:v>
                </c:pt>
                <c:pt idx="55">
                  <c:v>1.0864905070296027E-2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25-4B26-9A19-F90A6F978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76576"/>
        <c:axId val="195974656"/>
      </c:lineChart>
      <c:catAx>
        <c:axId val="19592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31136"/>
        <c:crosses val="autoZero"/>
        <c:auto val="1"/>
        <c:lblAlgn val="ctr"/>
        <c:lblOffset val="100"/>
        <c:noMultiLvlLbl val="0"/>
      </c:catAx>
      <c:valAx>
        <c:axId val="195931136"/>
        <c:scaling>
          <c:orientation val="minMax"/>
          <c:max val="0.45"/>
          <c:min val="0.410000000000000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29600"/>
        <c:crosses val="autoZero"/>
        <c:crossBetween val="between"/>
      </c:valAx>
      <c:valAx>
        <c:axId val="195974656"/>
        <c:scaling>
          <c:orientation val="minMax"/>
          <c:max val="0.1"/>
          <c:min val="-2.0000000000000011E-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76576"/>
        <c:crosses val="max"/>
        <c:crossBetween val="between"/>
      </c:valAx>
      <c:catAx>
        <c:axId val="195976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9597465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25" l="0.2" r="0.2" t="0.25" header="0.30000000000000021" footer="0.30000000000000021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 Monthly Productivity Measure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'PC% - AAG'!$A$18</c:f>
              <c:strCache>
                <c:ptCount val="1"/>
                <c:pt idx="0">
                  <c:v>Monthly-Actual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'PC%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'PC% - AAG'!$B$18:$Q$18</c:f>
              <c:numCache>
                <c:formatCode>0.0%</c:formatCode>
                <c:ptCount val="16"/>
                <c:pt idx="0">
                  <c:v>0.42135450048480666</c:v>
                </c:pt>
                <c:pt idx="1">
                  <c:v>0.41623305684806799</c:v>
                </c:pt>
                <c:pt idx="2">
                  <c:v>0.41652353143249743</c:v>
                </c:pt>
                <c:pt idx="3">
                  <c:v>0.41391409072661578</c:v>
                </c:pt>
                <c:pt idx="4">
                  <c:v>0.41343508280122515</c:v>
                </c:pt>
                <c:pt idx="5">
                  <c:v>0.4170032778034084</c:v>
                </c:pt>
                <c:pt idx="6">
                  <c:v>0.41869101944367298</c:v>
                </c:pt>
                <c:pt idx="7">
                  <c:v>0.42160583568194165</c:v>
                </c:pt>
                <c:pt idx="8">
                  <c:v>0.42462908871752669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9-4053-B456-41F1574C9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2430464"/>
        <c:axId val="179073792"/>
      </c:barChart>
      <c:lineChart>
        <c:grouping val="standard"/>
        <c:varyColors val="0"/>
        <c:ser>
          <c:idx val="2"/>
          <c:order val="2"/>
          <c:tx>
            <c:strRef>
              <c:f>'PC% - AAG'!$A$20</c:f>
              <c:strCache>
                <c:ptCount val="1"/>
                <c:pt idx="0">
                  <c:v>Base 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'PC%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'PC% - AAG'!$B$20:$Q$20</c:f>
              <c:numCache>
                <c:formatCode>0.0%</c:formatCode>
                <c:ptCount val="16"/>
                <c:pt idx="0">
                  <c:v>0.42</c:v>
                </c:pt>
                <c:pt idx="1">
                  <c:v>0.42</c:v>
                </c:pt>
                <c:pt idx="2">
                  <c:v>0.42</c:v>
                </c:pt>
                <c:pt idx="3">
                  <c:v>0.42</c:v>
                </c:pt>
                <c:pt idx="4">
                  <c:v>0.41637646001610223</c:v>
                </c:pt>
                <c:pt idx="5">
                  <c:v>0.41637646001610223</c:v>
                </c:pt>
                <c:pt idx="6">
                  <c:v>0.41637646001610223</c:v>
                </c:pt>
                <c:pt idx="7">
                  <c:v>0.41637646001610223</c:v>
                </c:pt>
                <c:pt idx="8">
                  <c:v>0.41637646001610223</c:v>
                </c:pt>
                <c:pt idx="9">
                  <c:v>0.41637646001610223</c:v>
                </c:pt>
                <c:pt idx="10">
                  <c:v>0.41637646001610223</c:v>
                </c:pt>
                <c:pt idx="11">
                  <c:v>0.41637646001610223</c:v>
                </c:pt>
                <c:pt idx="12">
                  <c:v>0.41637646001610223</c:v>
                </c:pt>
                <c:pt idx="13">
                  <c:v>0.41637646001610223</c:v>
                </c:pt>
                <c:pt idx="14">
                  <c:v>0.41637646001610223</c:v>
                </c:pt>
                <c:pt idx="15">
                  <c:v>0.41637646001610223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A9-4053-B456-41F1574C9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430464"/>
        <c:axId val="179073792"/>
      </c:lineChart>
      <c:lineChart>
        <c:grouping val="standard"/>
        <c:varyColors val="0"/>
        <c:ser>
          <c:idx val="1"/>
          <c:order val="1"/>
          <c:tx>
            <c:strRef>
              <c:f>'PC% - AAG'!$A$19</c:f>
              <c:strCache>
                <c:ptCount val="1"/>
                <c:pt idx="0">
                  <c:v>YTD % improvement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'PC%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'PC% - AAG'!$B$19:$Q$19</c:f>
              <c:numCache>
                <c:formatCode>0.0%</c:formatCode>
                <c:ptCount val="16"/>
                <c:pt idx="0">
                  <c:v>3.2250011543015766E-3</c:v>
                </c:pt>
                <c:pt idx="1">
                  <c:v>-2.8719555561016463E-3</c:v>
                </c:pt>
                <c:pt idx="2">
                  <c:v>-4.6737390751017127E-3</c:v>
                </c:pt>
                <c:pt idx="3">
                  <c:v>-7.1278693500073098E-3</c:v>
                </c:pt>
                <c:pt idx="4">
                  <c:v>-7.0642255202499893E-3</c:v>
                </c:pt>
                <c:pt idx="5">
                  <c:v>-1.2938063346848994E-3</c:v>
                </c:pt>
                <c:pt idx="6">
                  <c:v>1.1773799381686878E-4</c:v>
                </c:pt>
                <c:pt idx="7">
                  <c:v>1.0470902567227824E-3</c:v>
                </c:pt>
                <c:pt idx="8">
                  <c:v>1.7052847421650252E-3</c:v>
                </c:pt>
                <c:pt idx="9">
                  <c:v>2.1958866526912146E-3</c:v>
                </c:pt>
                <c:pt idx="10">
                  <c:v>3.4312672685985479E-3</c:v>
                </c:pt>
                <c:pt idx="11">
                  <c:v>4.4034874260761026E-3</c:v>
                </c:pt>
                <c:pt idx="12">
                  <c:v>5.1885406261027445E-3</c:v>
                </c:pt>
                <c:pt idx="13">
                  <c:v>5.8357297638433892E-3</c:v>
                </c:pt>
                <c:pt idx="14">
                  <c:v>6.3784391982590893E-3</c:v>
                </c:pt>
                <c:pt idx="15">
                  <c:v>7.6739401448757683E-3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A9-4053-B456-41F1574C9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077888"/>
        <c:axId val="179075712"/>
      </c:lineChart>
      <c:catAx>
        <c:axId val="30243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073792"/>
        <c:crosses val="autoZero"/>
        <c:auto val="1"/>
        <c:lblAlgn val="ctr"/>
        <c:lblOffset val="100"/>
        <c:noMultiLvlLbl val="0"/>
      </c:catAx>
      <c:valAx>
        <c:axId val="179073792"/>
        <c:scaling>
          <c:orientation val="minMax"/>
          <c:max val="0.45"/>
          <c:min val="0.410000000000000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Efficiency</a:t>
                </a:r>
              </a:p>
            </c:rich>
          </c:tx>
          <c:layout>
            <c:manualLayout>
              <c:xMode val="edge"/>
              <c:yMode val="edge"/>
              <c:x val="0.10286529092267026"/>
              <c:y val="0.378644472279825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30464"/>
        <c:crosses val="autoZero"/>
        <c:crossBetween val="between"/>
      </c:valAx>
      <c:valAx>
        <c:axId val="179075712"/>
        <c:scaling>
          <c:orientation val="minMax"/>
          <c:max val="5.0000000000000024E-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077888"/>
        <c:crosses val="max"/>
        <c:crossBetween val="between"/>
      </c:valAx>
      <c:catAx>
        <c:axId val="179077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7907571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25" l="0.2" r="0.2" t="0.25" header="0.30000000000000021" footer="0.30000000000000021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Ameristar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 Weekly Productivity Measure</a:t>
            </a:r>
          </a:p>
        </c:rich>
      </c:tx>
      <c:layout>
        <c:manualLayout>
          <c:xMode val="edge"/>
          <c:yMode val="edge"/>
          <c:x val="0.44881001725008812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0609917267936922E-2"/>
          <c:y val="8.3545545072388303E-2"/>
          <c:w val="0.9008084567278728"/>
          <c:h val="0.80709112914306369"/>
        </c:manualLayout>
      </c:layout>
      <c:barChart>
        <c:barDir val="col"/>
        <c:grouping val="clustered"/>
        <c:varyColors val="0"/>
        <c:ser>
          <c:idx val="0"/>
          <c:order val="2"/>
          <c:tx>
            <c:strRef>
              <c:f>'Ameristar Prod Measure'!$A$13</c:f>
              <c:strCache>
                <c:ptCount val="1"/>
                <c:pt idx="0">
                  <c:v>Weekly-Actual 2018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5B9BD5"/>
              </a:solidFill>
            </c:spPr>
            <c:extLst>
              <c:ext xmlns:c16="http://schemas.microsoft.com/office/drawing/2014/chart" uri="{C3380CC4-5D6E-409C-BE32-E72D297353CC}">
                <c16:uniqueId val="{00000005-6BB3-4D63-9A54-77452945B2AB}"/>
              </c:ext>
            </c:extLst>
          </c:dPt>
          <c:cat>
            <c:strRef>
              <c:f>'Ameristar Prod Measure'!$B$12:$AW$12</c:f>
              <c:strCache>
                <c:ptCount val="48"/>
                <c:pt idx="0">
                  <c:v>2018-1</c:v>
                </c:pt>
                <c:pt idx="1">
                  <c:v>2018-2</c:v>
                </c:pt>
                <c:pt idx="2">
                  <c:v>2018-3</c:v>
                </c:pt>
                <c:pt idx="3">
                  <c:v>2018-4</c:v>
                </c:pt>
                <c:pt idx="4">
                  <c:v>2018-5</c:v>
                </c:pt>
                <c:pt idx="5">
                  <c:v>2018-6</c:v>
                </c:pt>
                <c:pt idx="6">
                  <c:v>2018-7</c:v>
                </c:pt>
                <c:pt idx="7">
                  <c:v>2018-8</c:v>
                </c:pt>
                <c:pt idx="8">
                  <c:v>2018-9</c:v>
                </c:pt>
                <c:pt idx="9">
                  <c:v>2018-10</c:v>
                </c:pt>
                <c:pt idx="10">
                  <c:v>2018-11</c:v>
                </c:pt>
                <c:pt idx="11">
                  <c:v>2018-12</c:v>
                </c:pt>
                <c:pt idx="12">
                  <c:v>2018-13</c:v>
                </c:pt>
                <c:pt idx="13">
                  <c:v>2018-14</c:v>
                </c:pt>
                <c:pt idx="14">
                  <c:v>2018-15</c:v>
                </c:pt>
                <c:pt idx="15">
                  <c:v>2018-16</c:v>
                </c:pt>
                <c:pt idx="16">
                  <c:v>2018-17</c:v>
                </c:pt>
                <c:pt idx="17">
                  <c:v>2018-18</c:v>
                </c:pt>
                <c:pt idx="18">
                  <c:v>2018-19</c:v>
                </c:pt>
                <c:pt idx="19">
                  <c:v>2018-20</c:v>
                </c:pt>
                <c:pt idx="20">
                  <c:v>2018-21</c:v>
                </c:pt>
                <c:pt idx="21">
                  <c:v>2018-22</c:v>
                </c:pt>
                <c:pt idx="22">
                  <c:v>2018-23</c:v>
                </c:pt>
                <c:pt idx="23">
                  <c:v>2018-24</c:v>
                </c:pt>
                <c:pt idx="24">
                  <c:v>2018-25</c:v>
                </c:pt>
                <c:pt idx="25">
                  <c:v>2018-26</c:v>
                </c:pt>
                <c:pt idx="26">
                  <c:v>2018-27</c:v>
                </c:pt>
                <c:pt idx="27">
                  <c:v>2018-28</c:v>
                </c:pt>
                <c:pt idx="28">
                  <c:v>2018-29</c:v>
                </c:pt>
                <c:pt idx="29">
                  <c:v>2018-30</c:v>
                </c:pt>
                <c:pt idx="30">
                  <c:v>2018-31</c:v>
                </c:pt>
                <c:pt idx="31">
                  <c:v>2018-32</c:v>
                </c:pt>
                <c:pt idx="32">
                  <c:v>2018-33</c:v>
                </c:pt>
                <c:pt idx="33">
                  <c:v>2018-34</c:v>
                </c:pt>
                <c:pt idx="34">
                  <c:v>2018-35</c:v>
                </c:pt>
                <c:pt idx="35">
                  <c:v>2018-36</c:v>
                </c:pt>
                <c:pt idx="36">
                  <c:v>2018-37</c:v>
                </c:pt>
                <c:pt idx="37">
                  <c:v>2018-38</c:v>
                </c:pt>
                <c:pt idx="38">
                  <c:v>2018-39</c:v>
                </c:pt>
                <c:pt idx="39">
                  <c:v>2018-40</c:v>
                </c:pt>
                <c:pt idx="40">
                  <c:v>2018-41</c:v>
                </c:pt>
                <c:pt idx="41">
                  <c:v>2018-42</c:v>
                </c:pt>
                <c:pt idx="42">
                  <c:v>2018-43</c:v>
                </c:pt>
                <c:pt idx="43">
                  <c:v>2018-44</c:v>
                </c:pt>
                <c:pt idx="44">
                  <c:v>2018-45</c:v>
                </c:pt>
                <c:pt idx="45">
                  <c:v>2018-46</c:v>
                </c:pt>
                <c:pt idx="46">
                  <c:v>2018-47</c:v>
                </c:pt>
                <c:pt idx="47">
                  <c:v>2018-48</c:v>
                </c:pt>
              </c:strCache>
            </c:strRef>
          </c:cat>
          <c:val>
            <c:numRef>
              <c:f>'Ameristar Prod Measure'!$B$13:$AW$13</c:f>
              <c:numCache>
                <c:formatCode>0.0%</c:formatCode>
                <c:ptCount val="48"/>
                <c:pt idx="0">
                  <c:v>0.62284477560582652</c:v>
                </c:pt>
                <c:pt idx="1">
                  <c:v>0.63524471215318967</c:v>
                </c:pt>
                <c:pt idx="2">
                  <c:v>0.63708446942016961</c:v>
                </c:pt>
                <c:pt idx="3">
                  <c:v>0.67212851253734729</c:v>
                </c:pt>
                <c:pt idx="4">
                  <c:v>0.59626193754474854</c:v>
                </c:pt>
                <c:pt idx="5">
                  <c:v>0.74058357207836378</c:v>
                </c:pt>
                <c:pt idx="6">
                  <c:v>0.56714321584796945</c:v>
                </c:pt>
                <c:pt idx="7">
                  <c:v>0.68159789776890611</c:v>
                </c:pt>
                <c:pt idx="8">
                  <c:v>0.59049420207014591</c:v>
                </c:pt>
                <c:pt idx="9">
                  <c:v>0.57619551705135275</c:v>
                </c:pt>
                <c:pt idx="10">
                  <c:v>0.67849947949427014</c:v>
                </c:pt>
                <c:pt idx="11">
                  <c:v>0.64497019280438939</c:v>
                </c:pt>
                <c:pt idx="12">
                  <c:v>0.61578190117086729</c:v>
                </c:pt>
                <c:pt idx="13">
                  <c:v>0.62319947424855593</c:v>
                </c:pt>
                <c:pt idx="14">
                  <c:v>0.56852029585277808</c:v>
                </c:pt>
                <c:pt idx="15">
                  <c:v>0.62053602059598278</c:v>
                </c:pt>
                <c:pt idx="16">
                  <c:v>0.63273461520531982</c:v>
                </c:pt>
                <c:pt idx="17">
                  <c:v>0.63331150157869409</c:v>
                </c:pt>
                <c:pt idx="18">
                  <c:v>0.61155967309130355</c:v>
                </c:pt>
                <c:pt idx="19">
                  <c:v>0.65479657995922247</c:v>
                </c:pt>
                <c:pt idx="20">
                  <c:v>0.53544247533149725</c:v>
                </c:pt>
                <c:pt idx="21">
                  <c:v>0.58583219808792353</c:v>
                </c:pt>
                <c:pt idx="22">
                  <c:v>0.55982829800030076</c:v>
                </c:pt>
                <c:pt idx="23">
                  <c:v>0.66497472732109608</c:v>
                </c:pt>
                <c:pt idx="24">
                  <c:v>0.6162027798543166</c:v>
                </c:pt>
                <c:pt idx="25">
                  <c:v>0.64280305671511895</c:v>
                </c:pt>
                <c:pt idx="26">
                  <c:v>0.69017703843782152</c:v>
                </c:pt>
                <c:pt idx="27">
                  <c:v>0.65816229265190951</c:v>
                </c:pt>
                <c:pt idx="28">
                  <c:v>0.64253196606273988</c:v>
                </c:pt>
                <c:pt idx="29">
                  <c:v>0.65571657276256423</c:v>
                </c:pt>
                <c:pt idx="30">
                  <c:v>0.63340869383544651</c:v>
                </c:pt>
                <c:pt idx="31">
                  <c:v>0.70348493756225461</c:v>
                </c:pt>
                <c:pt idx="32">
                  <c:v>0.73505412751476673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D7-4C05-A311-183F8ADF4133}"/>
            </c:ext>
          </c:extLst>
        </c:ser>
        <c:ser>
          <c:idx val="4"/>
          <c:order val="4"/>
          <c:tx>
            <c:v>Weekly-Actual 2017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f>'2017 Ameristar Prod Measure'!$J$12:$BD$12</c:f>
              <c:strCache>
                <c:ptCount val="47"/>
                <c:pt idx="0">
                  <c:v>2017-2</c:v>
                </c:pt>
                <c:pt idx="1">
                  <c:v>2017-3</c:v>
                </c:pt>
                <c:pt idx="2">
                  <c:v>2017-4</c:v>
                </c:pt>
                <c:pt idx="3">
                  <c:v>2017-5</c:v>
                </c:pt>
                <c:pt idx="4">
                  <c:v>2017-6</c:v>
                </c:pt>
                <c:pt idx="5">
                  <c:v>2017-7</c:v>
                </c:pt>
                <c:pt idx="6">
                  <c:v>2017-8</c:v>
                </c:pt>
                <c:pt idx="7">
                  <c:v>2017-9</c:v>
                </c:pt>
                <c:pt idx="8">
                  <c:v>2017-10</c:v>
                </c:pt>
                <c:pt idx="9">
                  <c:v>2017-11</c:v>
                </c:pt>
                <c:pt idx="10">
                  <c:v>2017-12</c:v>
                </c:pt>
                <c:pt idx="11">
                  <c:v>2017-13</c:v>
                </c:pt>
                <c:pt idx="12">
                  <c:v>2017-14</c:v>
                </c:pt>
                <c:pt idx="13">
                  <c:v>2017-15</c:v>
                </c:pt>
                <c:pt idx="14">
                  <c:v>2017-16</c:v>
                </c:pt>
                <c:pt idx="15">
                  <c:v>2017-17</c:v>
                </c:pt>
                <c:pt idx="16">
                  <c:v>2017-18</c:v>
                </c:pt>
                <c:pt idx="17">
                  <c:v>2017-19</c:v>
                </c:pt>
                <c:pt idx="18">
                  <c:v>2017-20</c:v>
                </c:pt>
                <c:pt idx="19">
                  <c:v>2017-21</c:v>
                </c:pt>
                <c:pt idx="20">
                  <c:v>2017-22</c:v>
                </c:pt>
                <c:pt idx="21">
                  <c:v>2017-23</c:v>
                </c:pt>
                <c:pt idx="22">
                  <c:v>2017-24</c:v>
                </c:pt>
                <c:pt idx="23">
                  <c:v>2017-25</c:v>
                </c:pt>
                <c:pt idx="24">
                  <c:v>2017-26</c:v>
                </c:pt>
                <c:pt idx="25">
                  <c:v>2017-27</c:v>
                </c:pt>
                <c:pt idx="26">
                  <c:v>2017-28</c:v>
                </c:pt>
                <c:pt idx="27">
                  <c:v>2017-29</c:v>
                </c:pt>
                <c:pt idx="28">
                  <c:v>2017-30</c:v>
                </c:pt>
                <c:pt idx="29">
                  <c:v>2017-31</c:v>
                </c:pt>
                <c:pt idx="30">
                  <c:v>2017-32</c:v>
                </c:pt>
                <c:pt idx="31">
                  <c:v>2017-33</c:v>
                </c:pt>
                <c:pt idx="32">
                  <c:v>2017-34</c:v>
                </c:pt>
                <c:pt idx="33">
                  <c:v>2017-35</c:v>
                </c:pt>
                <c:pt idx="34">
                  <c:v>2017-36</c:v>
                </c:pt>
                <c:pt idx="35">
                  <c:v>2017-37</c:v>
                </c:pt>
                <c:pt idx="36">
                  <c:v>2017-38</c:v>
                </c:pt>
                <c:pt idx="37">
                  <c:v>2017-39</c:v>
                </c:pt>
                <c:pt idx="38">
                  <c:v>2017-40</c:v>
                </c:pt>
                <c:pt idx="39">
                  <c:v>2017-41</c:v>
                </c:pt>
                <c:pt idx="40">
                  <c:v>2017-42</c:v>
                </c:pt>
                <c:pt idx="41">
                  <c:v>2017-43</c:v>
                </c:pt>
                <c:pt idx="42">
                  <c:v>2017-44</c:v>
                </c:pt>
                <c:pt idx="43">
                  <c:v>2017-45</c:v>
                </c:pt>
                <c:pt idx="44">
                  <c:v>2017-46</c:v>
                </c:pt>
                <c:pt idx="45">
                  <c:v>2017-47</c:v>
                </c:pt>
                <c:pt idx="46">
                  <c:v>2017-48</c:v>
                </c:pt>
              </c:strCache>
            </c:strRef>
          </c:cat>
          <c:val>
            <c:numRef>
              <c:f>'2017 Ameristar Prod Measure'!$I$13:$BD$13</c:f>
              <c:numCache>
                <c:formatCode>0.0%</c:formatCode>
                <c:ptCount val="48"/>
                <c:pt idx="0">
                  <c:v>0.51065984946566889</c:v>
                </c:pt>
                <c:pt idx="1">
                  <c:v>0.62872584670338982</c:v>
                </c:pt>
                <c:pt idx="2">
                  <c:v>0.61029417000371899</c:v>
                </c:pt>
                <c:pt idx="3">
                  <c:v>0.62359168517655195</c:v>
                </c:pt>
                <c:pt idx="4">
                  <c:v>0.57764279031766463</c:v>
                </c:pt>
                <c:pt idx="5">
                  <c:v>0.65943746533974268</c:v>
                </c:pt>
                <c:pt idx="6">
                  <c:v>0.64076620470710077</c:v>
                </c:pt>
                <c:pt idx="7">
                  <c:v>0.64186279016239989</c:v>
                </c:pt>
                <c:pt idx="8">
                  <c:v>0.62228333592408624</c:v>
                </c:pt>
                <c:pt idx="9">
                  <c:v>0.59800470126617622</c:v>
                </c:pt>
                <c:pt idx="10">
                  <c:v>0.60042980048314787</c:v>
                </c:pt>
                <c:pt idx="11">
                  <c:v>0.61131236302413428</c:v>
                </c:pt>
                <c:pt idx="12">
                  <c:v>0.60242053801836037</c:v>
                </c:pt>
                <c:pt idx="13">
                  <c:v>0.62071321885643438</c:v>
                </c:pt>
                <c:pt idx="14">
                  <c:v>0.63616602794233745</c:v>
                </c:pt>
                <c:pt idx="15">
                  <c:v>0.59081267135261273</c:v>
                </c:pt>
                <c:pt idx="16">
                  <c:v>0.60287955265481274</c:v>
                </c:pt>
                <c:pt idx="17">
                  <c:v>0.62858306396287933</c:v>
                </c:pt>
                <c:pt idx="18">
                  <c:v>0.64993845717981313</c:v>
                </c:pt>
                <c:pt idx="19">
                  <c:v>0.70181580418900957</c:v>
                </c:pt>
                <c:pt idx="20">
                  <c:v>0.61995585381328633</c:v>
                </c:pt>
                <c:pt idx="21">
                  <c:v>0.64548360298768204</c:v>
                </c:pt>
                <c:pt idx="22">
                  <c:v>0.61173427213748177</c:v>
                </c:pt>
                <c:pt idx="23">
                  <c:v>0.72822690010694791</c:v>
                </c:pt>
                <c:pt idx="24">
                  <c:v>0.59191095619471157</c:v>
                </c:pt>
                <c:pt idx="25">
                  <c:v>0.63780487430456878</c:v>
                </c:pt>
                <c:pt idx="26">
                  <c:v>0.59781871459998348</c:v>
                </c:pt>
                <c:pt idx="27">
                  <c:v>0.64602210368176749</c:v>
                </c:pt>
                <c:pt idx="28">
                  <c:v>0.60609822837337735</c:v>
                </c:pt>
                <c:pt idx="29">
                  <c:v>0.6681610211527621</c:v>
                </c:pt>
                <c:pt idx="30">
                  <c:v>0.59827607443535535</c:v>
                </c:pt>
                <c:pt idx="31">
                  <c:v>0.67628511687585702</c:v>
                </c:pt>
                <c:pt idx="32">
                  <c:v>0.62372457685140514</c:v>
                </c:pt>
                <c:pt idx="33">
                  <c:v>0.61598087644877497</c:v>
                </c:pt>
                <c:pt idx="34">
                  <c:v>0.65008476974830409</c:v>
                </c:pt>
                <c:pt idx="35">
                  <c:v>0.59937601001031926</c:v>
                </c:pt>
                <c:pt idx="36">
                  <c:v>0.56780387566898805</c:v>
                </c:pt>
                <c:pt idx="37">
                  <c:v>0.59548926539531188</c:v>
                </c:pt>
                <c:pt idx="38">
                  <c:v>0.63991704779703928</c:v>
                </c:pt>
                <c:pt idx="39">
                  <c:v>0.49938861884281743</c:v>
                </c:pt>
                <c:pt idx="40">
                  <c:v>0.57635282310547598</c:v>
                </c:pt>
                <c:pt idx="41">
                  <c:v>0.58677348102957472</c:v>
                </c:pt>
                <c:pt idx="42">
                  <c:v>0.7698054898919614</c:v>
                </c:pt>
                <c:pt idx="43">
                  <c:v>0.66704492172061447</c:v>
                </c:pt>
                <c:pt idx="44">
                  <c:v>0.54749341056231593</c:v>
                </c:pt>
                <c:pt idx="45">
                  <c:v>0.63247723390941413</c:v>
                </c:pt>
                <c:pt idx="46">
                  <c:v>0.79490057376404943</c:v>
                </c:pt>
                <c:pt idx="47">
                  <c:v>0.67370348642306399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B3-4D63-9A54-77452945B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211520"/>
        <c:axId val="181213056"/>
      </c:barChart>
      <c:lineChart>
        <c:grouping val="standard"/>
        <c:varyColors val="0"/>
        <c:ser>
          <c:idx val="2"/>
          <c:order val="3"/>
          <c:tx>
            <c:strRef>
              <c:f>'Ameristar Prod Measure'!$A$15</c:f>
              <c:strCache>
                <c:ptCount val="1"/>
                <c:pt idx="0">
                  <c:v>Base 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'Ameristar Prod Measure'!$B$12:$AJ$12</c:f>
              <c:strCache>
                <c:ptCount val="35"/>
                <c:pt idx="0">
                  <c:v>2018-1</c:v>
                </c:pt>
                <c:pt idx="1">
                  <c:v>2018-2</c:v>
                </c:pt>
                <c:pt idx="2">
                  <c:v>2018-3</c:v>
                </c:pt>
                <c:pt idx="3">
                  <c:v>2018-4</c:v>
                </c:pt>
                <c:pt idx="4">
                  <c:v>2018-5</c:v>
                </c:pt>
                <c:pt idx="5">
                  <c:v>2018-6</c:v>
                </c:pt>
                <c:pt idx="6">
                  <c:v>2018-7</c:v>
                </c:pt>
                <c:pt idx="7">
                  <c:v>2018-8</c:v>
                </c:pt>
                <c:pt idx="8">
                  <c:v>2018-9</c:v>
                </c:pt>
                <c:pt idx="9">
                  <c:v>2018-10</c:v>
                </c:pt>
                <c:pt idx="10">
                  <c:v>2018-11</c:v>
                </c:pt>
                <c:pt idx="11">
                  <c:v>2018-12</c:v>
                </c:pt>
                <c:pt idx="12">
                  <c:v>2018-13</c:v>
                </c:pt>
                <c:pt idx="13">
                  <c:v>2018-14</c:v>
                </c:pt>
                <c:pt idx="14">
                  <c:v>2018-15</c:v>
                </c:pt>
                <c:pt idx="15">
                  <c:v>2018-16</c:v>
                </c:pt>
                <c:pt idx="16">
                  <c:v>2018-17</c:v>
                </c:pt>
                <c:pt idx="17">
                  <c:v>2018-18</c:v>
                </c:pt>
                <c:pt idx="18">
                  <c:v>2018-19</c:v>
                </c:pt>
                <c:pt idx="19">
                  <c:v>2018-20</c:v>
                </c:pt>
                <c:pt idx="20">
                  <c:v>2018-21</c:v>
                </c:pt>
                <c:pt idx="21">
                  <c:v>2018-22</c:v>
                </c:pt>
                <c:pt idx="22">
                  <c:v>2018-23</c:v>
                </c:pt>
                <c:pt idx="23">
                  <c:v>2018-24</c:v>
                </c:pt>
                <c:pt idx="24">
                  <c:v>2018-25</c:v>
                </c:pt>
                <c:pt idx="25">
                  <c:v>2018-26</c:v>
                </c:pt>
                <c:pt idx="26">
                  <c:v>2018-27</c:v>
                </c:pt>
                <c:pt idx="27">
                  <c:v>2018-28</c:v>
                </c:pt>
                <c:pt idx="28">
                  <c:v>2018-29</c:v>
                </c:pt>
                <c:pt idx="29">
                  <c:v>2018-30</c:v>
                </c:pt>
                <c:pt idx="30">
                  <c:v>2018-31</c:v>
                </c:pt>
                <c:pt idx="31">
                  <c:v>2018-32</c:v>
                </c:pt>
                <c:pt idx="32">
                  <c:v>2018-33</c:v>
                </c:pt>
                <c:pt idx="33">
                  <c:v>2018-34</c:v>
                </c:pt>
                <c:pt idx="34">
                  <c:v>2018-35</c:v>
                </c:pt>
              </c:strCache>
            </c:strRef>
          </c:cat>
          <c:val>
            <c:numRef>
              <c:f>'Ameristar Prod Measure'!$B$15:$AW$15</c:f>
              <c:numCache>
                <c:formatCode>0.0%</c:formatCode>
                <c:ptCount val="48"/>
                <c:pt idx="0">
                  <c:v>0.61299999999999999</c:v>
                </c:pt>
                <c:pt idx="1">
                  <c:v>0.61299999999999999</c:v>
                </c:pt>
                <c:pt idx="2">
                  <c:v>0.61299999999999999</c:v>
                </c:pt>
                <c:pt idx="3">
                  <c:v>0.61299999999999999</c:v>
                </c:pt>
                <c:pt idx="4">
                  <c:v>0.61299999999999999</c:v>
                </c:pt>
                <c:pt idx="5">
                  <c:v>0.61299999999999999</c:v>
                </c:pt>
                <c:pt idx="6">
                  <c:v>0.61299999999999999</c:v>
                </c:pt>
                <c:pt idx="7">
                  <c:v>0.61299999999999999</c:v>
                </c:pt>
                <c:pt idx="8">
                  <c:v>0.61299999999999999</c:v>
                </c:pt>
                <c:pt idx="9">
                  <c:v>0.61299999999999999</c:v>
                </c:pt>
                <c:pt idx="10">
                  <c:v>0.61299999999999999</c:v>
                </c:pt>
                <c:pt idx="11">
                  <c:v>0.61299999999999999</c:v>
                </c:pt>
                <c:pt idx="12">
                  <c:v>0.61299999999999999</c:v>
                </c:pt>
                <c:pt idx="13">
                  <c:v>0.61299999999999999</c:v>
                </c:pt>
                <c:pt idx="14">
                  <c:v>0.61299999999999999</c:v>
                </c:pt>
                <c:pt idx="15">
                  <c:v>0.61299999999999999</c:v>
                </c:pt>
                <c:pt idx="16">
                  <c:v>0.61299999999999999</c:v>
                </c:pt>
                <c:pt idx="17">
                  <c:v>0.61299999999999999</c:v>
                </c:pt>
                <c:pt idx="18">
                  <c:v>0.61299999999999999</c:v>
                </c:pt>
                <c:pt idx="19">
                  <c:v>0.61299999999999999</c:v>
                </c:pt>
                <c:pt idx="20">
                  <c:v>0.61299999999999999</c:v>
                </c:pt>
                <c:pt idx="21">
                  <c:v>0.61299999999999999</c:v>
                </c:pt>
                <c:pt idx="22">
                  <c:v>0.61299999999999999</c:v>
                </c:pt>
                <c:pt idx="23">
                  <c:v>0.61299999999999999</c:v>
                </c:pt>
                <c:pt idx="24">
                  <c:v>0.61299999999999999</c:v>
                </c:pt>
                <c:pt idx="25">
                  <c:v>0.61299999999999999</c:v>
                </c:pt>
                <c:pt idx="26">
                  <c:v>0.61299999999999999</c:v>
                </c:pt>
                <c:pt idx="27">
                  <c:v>0.61299999999999999</c:v>
                </c:pt>
                <c:pt idx="28">
                  <c:v>0.61299999999999999</c:v>
                </c:pt>
                <c:pt idx="29">
                  <c:v>0.61299999999999999</c:v>
                </c:pt>
                <c:pt idx="30">
                  <c:v>0.61299999999999999</c:v>
                </c:pt>
                <c:pt idx="31">
                  <c:v>0.61299999999999999</c:v>
                </c:pt>
                <c:pt idx="32">
                  <c:v>0.61299999999999999</c:v>
                </c:pt>
                <c:pt idx="33">
                  <c:v>0.61299999999999999</c:v>
                </c:pt>
                <c:pt idx="34">
                  <c:v>0.61299999999999999</c:v>
                </c:pt>
                <c:pt idx="35">
                  <c:v>0.61299999999999999</c:v>
                </c:pt>
                <c:pt idx="36">
                  <c:v>0.61299999999999999</c:v>
                </c:pt>
                <c:pt idx="37">
                  <c:v>0.61299999999999999</c:v>
                </c:pt>
                <c:pt idx="38">
                  <c:v>0.61299999999999999</c:v>
                </c:pt>
                <c:pt idx="39">
                  <c:v>0.61299999999999999</c:v>
                </c:pt>
                <c:pt idx="40">
                  <c:v>0.61299999999999999</c:v>
                </c:pt>
                <c:pt idx="41">
                  <c:v>0.61299999999999999</c:v>
                </c:pt>
                <c:pt idx="42">
                  <c:v>0.61299999999999999</c:v>
                </c:pt>
                <c:pt idx="43">
                  <c:v>0.61299999999999999</c:v>
                </c:pt>
                <c:pt idx="44">
                  <c:v>0.61299999999999999</c:v>
                </c:pt>
                <c:pt idx="45">
                  <c:v>0.61299999999999999</c:v>
                </c:pt>
                <c:pt idx="46">
                  <c:v>0.61299999999999999</c:v>
                </c:pt>
                <c:pt idx="47">
                  <c:v>0.61299999999999999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D7-4C05-A311-183F8ADF4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211520"/>
        <c:axId val="181213056"/>
        <c:extLst>
          <c:ext xmlns:c15="http://schemas.microsoft.com/office/drawing/2012/chart" uri="{02D57815-91ED-43cb-92C2-25804820EDAC}">
            <c15:filteredLineSeries>
              <c15:ser>
                <c:idx val="6"/>
                <c:order val="6"/>
                <c:tx>
                  <c:v>Base Line 2017</c:v>
                </c:tx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'2017 Ameristar Prod Measure'!$J$12:$BD$12</c15:sqref>
                        </c15:formulaRef>
                      </c:ext>
                    </c:extLst>
                    <c:strCache>
                      <c:ptCount val="47"/>
                      <c:pt idx="0">
                        <c:v>2017-2</c:v>
                      </c:pt>
                      <c:pt idx="1">
                        <c:v>2017-3</c:v>
                      </c:pt>
                      <c:pt idx="2">
                        <c:v>2017-4</c:v>
                      </c:pt>
                      <c:pt idx="3">
                        <c:v>2017-5</c:v>
                      </c:pt>
                      <c:pt idx="4">
                        <c:v>2017-6</c:v>
                      </c:pt>
                      <c:pt idx="5">
                        <c:v>2017-7</c:v>
                      </c:pt>
                      <c:pt idx="6">
                        <c:v>2017-8</c:v>
                      </c:pt>
                      <c:pt idx="7">
                        <c:v>2017-9</c:v>
                      </c:pt>
                      <c:pt idx="8">
                        <c:v>2017-10</c:v>
                      </c:pt>
                      <c:pt idx="9">
                        <c:v>2017-11</c:v>
                      </c:pt>
                      <c:pt idx="10">
                        <c:v>2017-12</c:v>
                      </c:pt>
                      <c:pt idx="11">
                        <c:v>2017-13</c:v>
                      </c:pt>
                      <c:pt idx="12">
                        <c:v>2017-14</c:v>
                      </c:pt>
                      <c:pt idx="13">
                        <c:v>2017-15</c:v>
                      </c:pt>
                      <c:pt idx="14">
                        <c:v>2017-16</c:v>
                      </c:pt>
                      <c:pt idx="15">
                        <c:v>2017-17</c:v>
                      </c:pt>
                      <c:pt idx="16">
                        <c:v>2017-18</c:v>
                      </c:pt>
                      <c:pt idx="17">
                        <c:v>2017-19</c:v>
                      </c:pt>
                      <c:pt idx="18">
                        <c:v>2017-20</c:v>
                      </c:pt>
                      <c:pt idx="19">
                        <c:v>2017-21</c:v>
                      </c:pt>
                      <c:pt idx="20">
                        <c:v>2017-22</c:v>
                      </c:pt>
                      <c:pt idx="21">
                        <c:v>2017-23</c:v>
                      </c:pt>
                      <c:pt idx="22">
                        <c:v>2017-24</c:v>
                      </c:pt>
                      <c:pt idx="23">
                        <c:v>2017-25</c:v>
                      </c:pt>
                      <c:pt idx="24">
                        <c:v>2017-26</c:v>
                      </c:pt>
                      <c:pt idx="25">
                        <c:v>2017-27</c:v>
                      </c:pt>
                      <c:pt idx="26">
                        <c:v>2017-28</c:v>
                      </c:pt>
                      <c:pt idx="27">
                        <c:v>2017-29</c:v>
                      </c:pt>
                      <c:pt idx="28">
                        <c:v>2017-30</c:v>
                      </c:pt>
                      <c:pt idx="29">
                        <c:v>2017-31</c:v>
                      </c:pt>
                      <c:pt idx="30">
                        <c:v>2017-32</c:v>
                      </c:pt>
                      <c:pt idx="31">
                        <c:v>2017-33</c:v>
                      </c:pt>
                      <c:pt idx="32">
                        <c:v>2017-34</c:v>
                      </c:pt>
                      <c:pt idx="33">
                        <c:v>2017-35</c:v>
                      </c:pt>
                      <c:pt idx="34">
                        <c:v>2017-36</c:v>
                      </c:pt>
                      <c:pt idx="35">
                        <c:v>2017-37</c:v>
                      </c:pt>
                      <c:pt idx="36">
                        <c:v>2017-38</c:v>
                      </c:pt>
                      <c:pt idx="37">
                        <c:v>2017-39</c:v>
                      </c:pt>
                      <c:pt idx="38">
                        <c:v>2017-40</c:v>
                      </c:pt>
                      <c:pt idx="39">
                        <c:v>2017-41</c:v>
                      </c:pt>
                      <c:pt idx="40">
                        <c:v>2017-42</c:v>
                      </c:pt>
                      <c:pt idx="41">
                        <c:v>2017-43</c:v>
                      </c:pt>
                      <c:pt idx="42">
                        <c:v>2017-44</c:v>
                      </c:pt>
                      <c:pt idx="43">
                        <c:v>2017-45</c:v>
                      </c:pt>
                      <c:pt idx="44">
                        <c:v>2017-46</c:v>
                      </c:pt>
                      <c:pt idx="45">
                        <c:v>2017-47</c:v>
                      </c:pt>
                      <c:pt idx="46">
                        <c:v>2017-48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'2017 Ameristar Prod Measure'!$J$15:$BD$15</c15:sqref>
                        </c15:formulaRef>
                      </c:ext>
                    </c:extLst>
                    <c:numCache>
                      <c:formatCode>0.0%</c:formatCode>
                      <c:ptCount val="47"/>
                      <c:pt idx="0">
                        <c:v>0.60252454485554574</c:v>
                      </c:pt>
                      <c:pt idx="1">
                        <c:v>0.60252454485554574</c:v>
                      </c:pt>
                      <c:pt idx="2">
                        <c:v>0.60252454485554574</c:v>
                      </c:pt>
                      <c:pt idx="3">
                        <c:v>0.60252454485554574</c:v>
                      </c:pt>
                      <c:pt idx="4">
                        <c:v>0.60252454485554574</c:v>
                      </c:pt>
                      <c:pt idx="5">
                        <c:v>0.60252454485554574</c:v>
                      </c:pt>
                      <c:pt idx="6">
                        <c:v>0.60252454485554574</c:v>
                      </c:pt>
                      <c:pt idx="7">
                        <c:v>0.60252454485554574</c:v>
                      </c:pt>
                      <c:pt idx="8">
                        <c:v>0.60252454485554574</c:v>
                      </c:pt>
                      <c:pt idx="9">
                        <c:v>0.60252454485554574</c:v>
                      </c:pt>
                      <c:pt idx="10">
                        <c:v>0.60252454485554574</c:v>
                      </c:pt>
                      <c:pt idx="11">
                        <c:v>0.60252454485554574</c:v>
                      </c:pt>
                      <c:pt idx="12">
                        <c:v>0.60252454485554574</c:v>
                      </c:pt>
                      <c:pt idx="13">
                        <c:v>0.60252454485554574</c:v>
                      </c:pt>
                      <c:pt idx="14">
                        <c:v>0.60252454485554574</c:v>
                      </c:pt>
                      <c:pt idx="15">
                        <c:v>0.60252454485554574</c:v>
                      </c:pt>
                      <c:pt idx="16">
                        <c:v>0.60252454485554574</c:v>
                      </c:pt>
                      <c:pt idx="17">
                        <c:v>0.60252454485554574</c:v>
                      </c:pt>
                      <c:pt idx="18">
                        <c:v>0.60252454485554574</c:v>
                      </c:pt>
                      <c:pt idx="19">
                        <c:v>0.60252454485554574</c:v>
                      </c:pt>
                      <c:pt idx="20">
                        <c:v>0.60252454485554574</c:v>
                      </c:pt>
                      <c:pt idx="21">
                        <c:v>0.60252454485554574</c:v>
                      </c:pt>
                      <c:pt idx="22">
                        <c:v>0.60252454485554574</c:v>
                      </c:pt>
                      <c:pt idx="23">
                        <c:v>0.60252454485554574</c:v>
                      </c:pt>
                      <c:pt idx="24">
                        <c:v>0.60252454485554574</c:v>
                      </c:pt>
                      <c:pt idx="25">
                        <c:v>0.60252454485554574</c:v>
                      </c:pt>
                      <c:pt idx="26">
                        <c:v>0.60252454485554574</c:v>
                      </c:pt>
                      <c:pt idx="27">
                        <c:v>0.60252454485554574</c:v>
                      </c:pt>
                      <c:pt idx="28">
                        <c:v>0.60252454485554574</c:v>
                      </c:pt>
                      <c:pt idx="29">
                        <c:v>0.60252454485554574</c:v>
                      </c:pt>
                      <c:pt idx="30">
                        <c:v>0.60252454485554574</c:v>
                      </c:pt>
                      <c:pt idx="31">
                        <c:v>0.60252454485554574</c:v>
                      </c:pt>
                      <c:pt idx="32">
                        <c:v>0.60252454485554574</c:v>
                      </c:pt>
                      <c:pt idx="33">
                        <c:v>0.60252454485554574</c:v>
                      </c:pt>
                      <c:pt idx="34">
                        <c:v>0.60252454485554574</c:v>
                      </c:pt>
                      <c:pt idx="35">
                        <c:v>0.60252454485554574</c:v>
                      </c:pt>
                      <c:pt idx="36">
                        <c:v>0.60252454485554574</c:v>
                      </c:pt>
                      <c:pt idx="37">
                        <c:v>0.60252454485554574</c:v>
                      </c:pt>
                      <c:pt idx="38">
                        <c:v>0.60252454485554574</c:v>
                      </c:pt>
                      <c:pt idx="39">
                        <c:v>0.60252454485554574</c:v>
                      </c:pt>
                      <c:pt idx="40">
                        <c:v>0.60252454485554574</c:v>
                      </c:pt>
                      <c:pt idx="41">
                        <c:v>0.60252454485554574</c:v>
                      </c:pt>
                      <c:pt idx="42">
                        <c:v>0.60252454485554574</c:v>
                      </c:pt>
                      <c:pt idx="43">
                        <c:v>0.60252454485554574</c:v>
                      </c:pt>
                      <c:pt idx="44">
                        <c:v>0.60252454485554574</c:v>
                      </c:pt>
                      <c:pt idx="45">
                        <c:v>0.60252454485554574</c:v>
                      </c:pt>
                      <c:pt idx="46">
                        <c:v>0.60252454485554574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6BB3-4D63-9A54-77452945B2AB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1"/>
          <c:order val="0"/>
          <c:tx>
            <c:strRef>
              <c:f>'Ameristar Prod Measure'!$A$14</c:f>
              <c:strCache>
                <c:ptCount val="1"/>
                <c:pt idx="0">
                  <c:v>YTD % improvement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32"/>
              <c:layout>
                <c:manualLayout>
                  <c:x val="5.1470294210145782E-3"/>
                  <c:y val="-7.8363150658626299E-2"/>
                </c:manualLayout>
              </c:layout>
              <c:spPr/>
              <c:txPr>
                <a:bodyPr/>
                <a:lstStyle/>
                <a:p>
                  <a:pPr>
                    <a:defRPr sz="1600" b="1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AAD-4C91-BD34-4161EF14D0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'2017 Ameristar Prod Measure'!$J$12:$BD$12</c:f>
              <c:strCache>
                <c:ptCount val="47"/>
                <c:pt idx="0">
                  <c:v>2017-2</c:v>
                </c:pt>
                <c:pt idx="1">
                  <c:v>2017-3</c:v>
                </c:pt>
                <c:pt idx="2">
                  <c:v>2017-4</c:v>
                </c:pt>
                <c:pt idx="3">
                  <c:v>2017-5</c:v>
                </c:pt>
                <c:pt idx="4">
                  <c:v>2017-6</c:v>
                </c:pt>
                <c:pt idx="5">
                  <c:v>2017-7</c:v>
                </c:pt>
                <c:pt idx="6">
                  <c:v>2017-8</c:v>
                </c:pt>
                <c:pt idx="7">
                  <c:v>2017-9</c:v>
                </c:pt>
                <c:pt idx="8">
                  <c:v>2017-10</c:v>
                </c:pt>
                <c:pt idx="9">
                  <c:v>2017-11</c:v>
                </c:pt>
                <c:pt idx="10">
                  <c:v>2017-12</c:v>
                </c:pt>
                <c:pt idx="11">
                  <c:v>2017-13</c:v>
                </c:pt>
                <c:pt idx="12">
                  <c:v>2017-14</c:v>
                </c:pt>
                <c:pt idx="13">
                  <c:v>2017-15</c:v>
                </c:pt>
                <c:pt idx="14">
                  <c:v>2017-16</c:v>
                </c:pt>
                <c:pt idx="15">
                  <c:v>2017-17</c:v>
                </c:pt>
                <c:pt idx="16">
                  <c:v>2017-18</c:v>
                </c:pt>
                <c:pt idx="17">
                  <c:v>2017-19</c:v>
                </c:pt>
                <c:pt idx="18">
                  <c:v>2017-20</c:v>
                </c:pt>
                <c:pt idx="19">
                  <c:v>2017-21</c:v>
                </c:pt>
                <c:pt idx="20">
                  <c:v>2017-22</c:v>
                </c:pt>
                <c:pt idx="21">
                  <c:v>2017-23</c:v>
                </c:pt>
                <c:pt idx="22">
                  <c:v>2017-24</c:v>
                </c:pt>
                <c:pt idx="23">
                  <c:v>2017-25</c:v>
                </c:pt>
                <c:pt idx="24">
                  <c:v>2017-26</c:v>
                </c:pt>
                <c:pt idx="25">
                  <c:v>2017-27</c:v>
                </c:pt>
                <c:pt idx="26">
                  <c:v>2017-28</c:v>
                </c:pt>
                <c:pt idx="27">
                  <c:v>2017-29</c:v>
                </c:pt>
                <c:pt idx="28">
                  <c:v>2017-30</c:v>
                </c:pt>
                <c:pt idx="29">
                  <c:v>2017-31</c:v>
                </c:pt>
                <c:pt idx="30">
                  <c:v>2017-32</c:v>
                </c:pt>
                <c:pt idx="31">
                  <c:v>2017-33</c:v>
                </c:pt>
                <c:pt idx="32">
                  <c:v>2017-34</c:v>
                </c:pt>
                <c:pt idx="33">
                  <c:v>2017-35</c:v>
                </c:pt>
                <c:pt idx="34">
                  <c:v>2017-36</c:v>
                </c:pt>
                <c:pt idx="35">
                  <c:v>2017-37</c:v>
                </c:pt>
                <c:pt idx="36">
                  <c:v>2017-38</c:v>
                </c:pt>
                <c:pt idx="37">
                  <c:v>2017-39</c:v>
                </c:pt>
                <c:pt idx="38">
                  <c:v>2017-40</c:v>
                </c:pt>
                <c:pt idx="39">
                  <c:v>2017-41</c:v>
                </c:pt>
                <c:pt idx="40">
                  <c:v>2017-42</c:v>
                </c:pt>
                <c:pt idx="41">
                  <c:v>2017-43</c:v>
                </c:pt>
                <c:pt idx="42">
                  <c:v>2017-44</c:v>
                </c:pt>
                <c:pt idx="43">
                  <c:v>2017-45</c:v>
                </c:pt>
                <c:pt idx="44">
                  <c:v>2017-46</c:v>
                </c:pt>
                <c:pt idx="45">
                  <c:v>2017-47</c:v>
                </c:pt>
                <c:pt idx="46">
                  <c:v>2017-48</c:v>
                </c:pt>
              </c:strCache>
            </c:strRef>
          </c:cat>
          <c:val>
            <c:numRef>
              <c:f>'Ameristar Prod Measure'!$B$14:$AH$14</c:f>
              <c:numCache>
                <c:formatCode>0.0%</c:formatCode>
                <c:ptCount val="33"/>
                <c:pt idx="0">
                  <c:v>1.6059992831690906E-2</c:v>
                </c:pt>
                <c:pt idx="1">
                  <c:v>2.7511272906505013E-2</c:v>
                </c:pt>
                <c:pt idx="2">
                  <c:v>3.1888603708457586E-2</c:v>
                </c:pt>
                <c:pt idx="3">
                  <c:v>5.5580022024249942E-2</c:v>
                </c:pt>
                <c:pt idx="4">
                  <c:v>3.5727737904917678E-2</c:v>
                </c:pt>
                <c:pt idx="5">
                  <c:v>6.2060007808421469E-2</c:v>
                </c:pt>
                <c:pt idx="6">
                  <c:v>4.2259019681395005E-2</c:v>
                </c:pt>
                <c:pt idx="7">
                  <c:v>4.7158292520727452E-2</c:v>
                </c:pt>
                <c:pt idx="8">
                  <c:v>3.4282968830390947E-2</c:v>
                </c:pt>
                <c:pt idx="9">
                  <c:v>2.4372885717057757E-2</c:v>
                </c:pt>
                <c:pt idx="10">
                  <c:v>3.2075487935371738E-2</c:v>
                </c:pt>
                <c:pt idx="11">
                  <c:v>3.3689924156319329E-2</c:v>
                </c:pt>
                <c:pt idx="12">
                  <c:v>3.1270453764952411E-2</c:v>
                </c:pt>
                <c:pt idx="13">
                  <c:v>3.0071139021504267E-2</c:v>
                </c:pt>
                <c:pt idx="14">
                  <c:v>2.1955720938134027E-2</c:v>
                </c:pt>
                <c:pt idx="15">
                  <c:v>2.1130726519523746E-2</c:v>
                </c:pt>
                <c:pt idx="16">
                  <c:v>2.1737748916874411E-2</c:v>
                </c:pt>
                <c:pt idx="17">
                  <c:v>2.2424236515058871E-2</c:v>
                </c:pt>
                <c:pt idx="18">
                  <c:v>2.1001541869285267E-2</c:v>
                </c:pt>
                <c:pt idx="19">
                  <c:v>2.4527157420655143E-2</c:v>
                </c:pt>
                <c:pt idx="20">
                  <c:v>1.5810103224183525E-2</c:v>
                </c:pt>
                <c:pt idx="21">
                  <c:v>1.3299357377854371E-2</c:v>
                </c:pt>
                <c:pt idx="22">
                  <c:v>9.0430911937626757E-3</c:v>
                </c:pt>
                <c:pt idx="23">
                  <c:v>1.1821126140039162E-2</c:v>
                </c:pt>
                <c:pt idx="24">
                  <c:v>1.1629989880141522E-2</c:v>
                </c:pt>
                <c:pt idx="25">
                  <c:v>1.2938438072378045E-2</c:v>
                </c:pt>
                <c:pt idx="26">
                  <c:v>1.6815206191275855E-2</c:v>
                </c:pt>
                <c:pt idx="27">
                  <c:v>1.9354781990605696E-2</c:v>
                </c:pt>
                <c:pt idx="28">
                  <c:v>2.0842987695243842E-2</c:v>
                </c:pt>
                <c:pt idx="29">
                  <c:v>2.2361489144573143E-2</c:v>
                </c:pt>
                <c:pt idx="30">
                  <c:v>2.2692514917963758E-2</c:v>
                </c:pt>
                <c:pt idx="31">
                  <c:v>2.5896828954758533E-2</c:v>
                </c:pt>
                <c:pt idx="32">
                  <c:v>2.9983641310146636E-2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D7-4C05-A311-183F8ADF4133}"/>
            </c:ext>
          </c:extLst>
        </c:ser>
        <c:ser>
          <c:idx val="3"/>
          <c:order val="1"/>
          <c:tx>
            <c:strRef>
              <c:f>'Ameristar Prod Measure'!$A$16</c:f>
              <c:strCache>
                <c:ptCount val="1"/>
                <c:pt idx="0">
                  <c:v>% improvement from Base Line</c:v>
                </c:pt>
              </c:strCache>
            </c:strRef>
          </c:tx>
          <c:spPr>
            <a:ln w="34925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strRef>
              <c:f>'2017 Ameristar Prod Measure'!$J$12:$BD$12</c:f>
              <c:strCache>
                <c:ptCount val="47"/>
                <c:pt idx="0">
                  <c:v>2017-2</c:v>
                </c:pt>
                <c:pt idx="1">
                  <c:v>2017-3</c:v>
                </c:pt>
                <c:pt idx="2">
                  <c:v>2017-4</c:v>
                </c:pt>
                <c:pt idx="3">
                  <c:v>2017-5</c:v>
                </c:pt>
                <c:pt idx="4">
                  <c:v>2017-6</c:v>
                </c:pt>
                <c:pt idx="5">
                  <c:v>2017-7</c:v>
                </c:pt>
                <c:pt idx="6">
                  <c:v>2017-8</c:v>
                </c:pt>
                <c:pt idx="7">
                  <c:v>2017-9</c:v>
                </c:pt>
                <c:pt idx="8">
                  <c:v>2017-10</c:v>
                </c:pt>
                <c:pt idx="9">
                  <c:v>2017-11</c:v>
                </c:pt>
                <c:pt idx="10">
                  <c:v>2017-12</c:v>
                </c:pt>
                <c:pt idx="11">
                  <c:v>2017-13</c:v>
                </c:pt>
                <c:pt idx="12">
                  <c:v>2017-14</c:v>
                </c:pt>
                <c:pt idx="13">
                  <c:v>2017-15</c:v>
                </c:pt>
                <c:pt idx="14">
                  <c:v>2017-16</c:v>
                </c:pt>
                <c:pt idx="15">
                  <c:v>2017-17</c:v>
                </c:pt>
                <c:pt idx="16">
                  <c:v>2017-18</c:v>
                </c:pt>
                <c:pt idx="17">
                  <c:v>2017-19</c:v>
                </c:pt>
                <c:pt idx="18">
                  <c:v>2017-20</c:v>
                </c:pt>
                <c:pt idx="19">
                  <c:v>2017-21</c:v>
                </c:pt>
                <c:pt idx="20">
                  <c:v>2017-22</c:v>
                </c:pt>
                <c:pt idx="21">
                  <c:v>2017-23</c:v>
                </c:pt>
                <c:pt idx="22">
                  <c:v>2017-24</c:v>
                </c:pt>
                <c:pt idx="23">
                  <c:v>2017-25</c:v>
                </c:pt>
                <c:pt idx="24">
                  <c:v>2017-26</c:v>
                </c:pt>
                <c:pt idx="25">
                  <c:v>2017-27</c:v>
                </c:pt>
                <c:pt idx="26">
                  <c:v>2017-28</c:v>
                </c:pt>
                <c:pt idx="27">
                  <c:v>2017-29</c:v>
                </c:pt>
                <c:pt idx="28">
                  <c:v>2017-30</c:v>
                </c:pt>
                <c:pt idx="29">
                  <c:v>2017-31</c:v>
                </c:pt>
                <c:pt idx="30">
                  <c:v>2017-32</c:v>
                </c:pt>
                <c:pt idx="31">
                  <c:v>2017-33</c:v>
                </c:pt>
                <c:pt idx="32">
                  <c:v>2017-34</c:v>
                </c:pt>
                <c:pt idx="33">
                  <c:v>2017-35</c:v>
                </c:pt>
                <c:pt idx="34">
                  <c:v>2017-36</c:v>
                </c:pt>
                <c:pt idx="35">
                  <c:v>2017-37</c:v>
                </c:pt>
                <c:pt idx="36">
                  <c:v>2017-38</c:v>
                </c:pt>
                <c:pt idx="37">
                  <c:v>2017-39</c:v>
                </c:pt>
                <c:pt idx="38">
                  <c:v>2017-40</c:v>
                </c:pt>
                <c:pt idx="39">
                  <c:v>2017-41</c:v>
                </c:pt>
                <c:pt idx="40">
                  <c:v>2017-42</c:v>
                </c:pt>
                <c:pt idx="41">
                  <c:v>2017-43</c:v>
                </c:pt>
                <c:pt idx="42">
                  <c:v>2017-44</c:v>
                </c:pt>
                <c:pt idx="43">
                  <c:v>2017-45</c:v>
                </c:pt>
                <c:pt idx="44">
                  <c:v>2017-46</c:v>
                </c:pt>
                <c:pt idx="45">
                  <c:v>2017-47</c:v>
                </c:pt>
                <c:pt idx="46">
                  <c:v>2017-48</c:v>
                </c:pt>
              </c:strCache>
            </c:strRef>
          </c:cat>
          <c:val>
            <c:numRef>
              <c:f>'Ameristar Prod Measure'!$B$16:$AH$16</c:f>
              <c:numCache>
                <c:formatCode>0.0%</c:formatCode>
                <c:ptCount val="33"/>
                <c:pt idx="0">
                  <c:v>1.6059992831690906E-2</c:v>
                </c:pt>
                <c:pt idx="1">
                  <c:v>3.6288274311891744E-2</c:v>
                </c:pt>
                <c:pt idx="2">
                  <c:v>3.9289509657699284E-2</c:v>
                </c:pt>
                <c:pt idx="3">
                  <c:v>9.645760609681453E-2</c:v>
                </c:pt>
                <c:pt idx="4">
                  <c:v>-2.7305158980834299E-2</c:v>
                </c:pt>
                <c:pt idx="5">
                  <c:v>0.20812980763191491</c:v>
                </c:pt>
                <c:pt idx="6">
                  <c:v>-7.4807151960898155E-2</c:v>
                </c:pt>
                <c:pt idx="7">
                  <c:v>0.11190521658875396</c:v>
                </c:pt>
                <c:pt idx="8">
                  <c:v>-3.6714189118848384E-2</c:v>
                </c:pt>
                <c:pt idx="9">
                  <c:v>-6.0039939557336441E-2</c:v>
                </c:pt>
                <c:pt idx="10">
                  <c:v>0.10685070064318136</c:v>
                </c:pt>
                <c:pt idx="11">
                  <c:v>5.2153658734729769E-2</c:v>
                </c:pt>
                <c:pt idx="12">
                  <c:v>4.5381748301260849E-3</c:v>
                </c:pt>
                <c:pt idx="13">
                  <c:v>1.6638620307595442E-2</c:v>
                </c:pt>
                <c:pt idx="14">
                  <c:v>-7.2560691920427245E-2</c:v>
                </c:pt>
                <c:pt idx="15">
                  <c:v>1.2293671445322563E-2</c:v>
                </c:pt>
                <c:pt idx="16">
                  <c:v>3.2193499519281854E-2</c:v>
                </c:pt>
                <c:pt idx="17">
                  <c:v>3.3134586588408066E-2</c:v>
                </c:pt>
                <c:pt idx="18">
                  <c:v>-2.3496360663889382E-3</c:v>
                </c:pt>
                <c:pt idx="19">
                  <c:v>6.8183654093348256E-2</c:v>
                </c:pt>
                <c:pt idx="20">
                  <c:v>-0.12652124742006976</c:v>
                </c:pt>
                <c:pt idx="21">
                  <c:v>-4.431941584351784E-2</c:v>
                </c:pt>
                <c:pt idx="22">
                  <c:v>-8.6740133767861716E-2</c:v>
                </c:pt>
                <c:pt idx="23">
                  <c:v>8.4787483394936469E-2</c:v>
                </c:pt>
                <c:pt idx="24">
                  <c:v>5.2247632207449435E-3</c:v>
                </c:pt>
                <c:pt idx="25">
                  <c:v>4.8618363319933078E-2</c:v>
                </c:pt>
                <c:pt idx="26">
                  <c:v>0.12590055210085072</c:v>
                </c:pt>
                <c:pt idx="27">
                  <c:v>7.3674213135252131E-2</c:v>
                </c:pt>
                <c:pt idx="28">
                  <c:v>4.8176127345415765E-2</c:v>
                </c:pt>
                <c:pt idx="29">
                  <c:v>6.9684458013971051E-2</c:v>
                </c:pt>
                <c:pt idx="30">
                  <c:v>3.329313839387682E-2</c:v>
                </c:pt>
                <c:pt idx="31">
                  <c:v>0.14761001233646764</c:v>
                </c:pt>
                <c:pt idx="32">
                  <c:v>0.19910950654937487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65-48C6-87F9-5BAFC9822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217152"/>
        <c:axId val="181215232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v>YTD % Improvement 2017</c:v>
                </c:tx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'2017 Ameristar Prod Measure'!$J$12:$BD$12</c15:sqref>
                        </c15:formulaRef>
                      </c:ext>
                    </c:extLst>
                    <c:strCache>
                      <c:ptCount val="47"/>
                      <c:pt idx="0">
                        <c:v>2017-2</c:v>
                      </c:pt>
                      <c:pt idx="1">
                        <c:v>2017-3</c:v>
                      </c:pt>
                      <c:pt idx="2">
                        <c:v>2017-4</c:v>
                      </c:pt>
                      <c:pt idx="3">
                        <c:v>2017-5</c:v>
                      </c:pt>
                      <c:pt idx="4">
                        <c:v>2017-6</c:v>
                      </c:pt>
                      <c:pt idx="5">
                        <c:v>2017-7</c:v>
                      </c:pt>
                      <c:pt idx="6">
                        <c:v>2017-8</c:v>
                      </c:pt>
                      <c:pt idx="7">
                        <c:v>2017-9</c:v>
                      </c:pt>
                      <c:pt idx="8">
                        <c:v>2017-10</c:v>
                      </c:pt>
                      <c:pt idx="9">
                        <c:v>2017-11</c:v>
                      </c:pt>
                      <c:pt idx="10">
                        <c:v>2017-12</c:v>
                      </c:pt>
                      <c:pt idx="11">
                        <c:v>2017-13</c:v>
                      </c:pt>
                      <c:pt idx="12">
                        <c:v>2017-14</c:v>
                      </c:pt>
                      <c:pt idx="13">
                        <c:v>2017-15</c:v>
                      </c:pt>
                      <c:pt idx="14">
                        <c:v>2017-16</c:v>
                      </c:pt>
                      <c:pt idx="15">
                        <c:v>2017-17</c:v>
                      </c:pt>
                      <c:pt idx="16">
                        <c:v>2017-18</c:v>
                      </c:pt>
                      <c:pt idx="17">
                        <c:v>2017-19</c:v>
                      </c:pt>
                      <c:pt idx="18">
                        <c:v>2017-20</c:v>
                      </c:pt>
                      <c:pt idx="19">
                        <c:v>2017-21</c:v>
                      </c:pt>
                      <c:pt idx="20">
                        <c:v>2017-22</c:v>
                      </c:pt>
                      <c:pt idx="21">
                        <c:v>2017-23</c:v>
                      </c:pt>
                      <c:pt idx="22">
                        <c:v>2017-24</c:v>
                      </c:pt>
                      <c:pt idx="23">
                        <c:v>2017-25</c:v>
                      </c:pt>
                      <c:pt idx="24">
                        <c:v>2017-26</c:v>
                      </c:pt>
                      <c:pt idx="25">
                        <c:v>2017-27</c:v>
                      </c:pt>
                      <c:pt idx="26">
                        <c:v>2017-28</c:v>
                      </c:pt>
                      <c:pt idx="27">
                        <c:v>2017-29</c:v>
                      </c:pt>
                      <c:pt idx="28">
                        <c:v>2017-30</c:v>
                      </c:pt>
                      <c:pt idx="29">
                        <c:v>2017-31</c:v>
                      </c:pt>
                      <c:pt idx="30">
                        <c:v>2017-32</c:v>
                      </c:pt>
                      <c:pt idx="31">
                        <c:v>2017-33</c:v>
                      </c:pt>
                      <c:pt idx="32">
                        <c:v>2017-34</c:v>
                      </c:pt>
                      <c:pt idx="33">
                        <c:v>2017-35</c:v>
                      </c:pt>
                      <c:pt idx="34">
                        <c:v>2017-36</c:v>
                      </c:pt>
                      <c:pt idx="35">
                        <c:v>2017-37</c:v>
                      </c:pt>
                      <c:pt idx="36">
                        <c:v>2017-38</c:v>
                      </c:pt>
                      <c:pt idx="37">
                        <c:v>2017-39</c:v>
                      </c:pt>
                      <c:pt idx="38">
                        <c:v>2017-40</c:v>
                      </c:pt>
                      <c:pt idx="39">
                        <c:v>2017-41</c:v>
                      </c:pt>
                      <c:pt idx="40">
                        <c:v>2017-42</c:v>
                      </c:pt>
                      <c:pt idx="41">
                        <c:v>2017-43</c:v>
                      </c:pt>
                      <c:pt idx="42">
                        <c:v>2017-44</c:v>
                      </c:pt>
                      <c:pt idx="43">
                        <c:v>2017-45</c:v>
                      </c:pt>
                      <c:pt idx="44">
                        <c:v>2017-46</c:v>
                      </c:pt>
                      <c:pt idx="45">
                        <c:v>2017-47</c:v>
                      </c:pt>
                      <c:pt idx="46">
                        <c:v>2017-48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'2017 Ameristar Prod Measure'!$J$14:$BD$14</c15:sqref>
                        </c15:formulaRef>
                      </c:ext>
                    </c:extLst>
                    <c:numCache>
                      <c:formatCode>0.0%</c:formatCode>
                      <c:ptCount val="47"/>
                      <c:pt idx="0">
                        <c:v>-3.3398172987740393E-2</c:v>
                      </c:pt>
                      <c:pt idx="1">
                        <c:v>-1.5527166309756257E-2</c:v>
                      </c:pt>
                      <c:pt idx="2">
                        <c:v>1.6619664429302627E-3</c:v>
                      </c:pt>
                      <c:pt idx="3">
                        <c:v>-4.8991691246754732E-3</c:v>
                      </c:pt>
                      <c:pt idx="4">
                        <c:v>1.334828244641284E-2</c:v>
                      </c:pt>
                      <c:pt idx="5">
                        <c:v>2.1516061036800815E-2</c:v>
                      </c:pt>
                      <c:pt idx="6">
                        <c:v>2.955377204228582E-2</c:v>
                      </c:pt>
                      <c:pt idx="7">
                        <c:v>2.9800782412511717E-2</c:v>
                      </c:pt>
                      <c:pt idx="8">
                        <c:v>2.5677144856077527E-2</c:v>
                      </c:pt>
                      <c:pt idx="9">
                        <c:v>2.2844246090046871E-2</c:v>
                      </c:pt>
                      <c:pt idx="10">
                        <c:v>2.1508041243499365E-2</c:v>
                      </c:pt>
                      <c:pt idx="11">
                        <c:v>1.9801442119464552E-2</c:v>
                      </c:pt>
                      <c:pt idx="12">
                        <c:v>2.0466513956846955E-2</c:v>
                      </c:pt>
                      <c:pt idx="13">
                        <c:v>2.2546201538198973E-2</c:v>
                      </c:pt>
                      <c:pt idx="14">
                        <c:v>2.0201838920012927E-2</c:v>
                      </c:pt>
                      <c:pt idx="15">
                        <c:v>1.9212200905685428E-2</c:v>
                      </c:pt>
                      <c:pt idx="16">
                        <c:v>2.035187832841534E-2</c:v>
                      </c:pt>
                      <c:pt idx="17">
                        <c:v>2.291220237088365E-2</c:v>
                      </c:pt>
                      <c:pt idx="18">
                        <c:v>3.0608752224523972E-2</c:v>
                      </c:pt>
                      <c:pt idx="19">
                        <c:v>3.0521914911443515E-2</c:v>
                      </c:pt>
                      <c:pt idx="20">
                        <c:v>3.1985040860380343E-2</c:v>
                      </c:pt>
                      <c:pt idx="21">
                        <c:v>3.1379144252286828E-2</c:v>
                      </c:pt>
                      <c:pt idx="22">
                        <c:v>3.7347885120149416E-2</c:v>
                      </c:pt>
                      <c:pt idx="23">
                        <c:v>3.6041676155325941E-2</c:v>
                      </c:pt>
                      <c:pt idx="24">
                        <c:v>3.6823842012275509E-2</c:v>
                      </c:pt>
                      <c:pt idx="25">
                        <c:v>3.5291749321415544E-2</c:v>
                      </c:pt>
                      <c:pt idx="26">
                        <c:v>3.6785333751665927E-2</c:v>
                      </c:pt>
                      <c:pt idx="27">
                        <c:v>3.5901201038588404E-2</c:v>
                      </c:pt>
                      <c:pt idx="28">
                        <c:v>3.8435550507176286E-2</c:v>
                      </c:pt>
                      <c:pt idx="29">
                        <c:v>3.6841426027637292E-2</c:v>
                      </c:pt>
                      <c:pt idx="30">
                        <c:v>4.1788305907177525E-2</c:v>
                      </c:pt>
                      <c:pt idx="31">
                        <c:v>4.1600127107987106E-2</c:v>
                      </c:pt>
                      <c:pt idx="32">
                        <c:v>4.1024064209940869E-2</c:v>
                      </c:pt>
                      <c:pt idx="33">
                        <c:v>4.205823950306864E-2</c:v>
                      </c:pt>
                      <c:pt idx="34">
                        <c:v>4.0831006504312484E-2</c:v>
                      </c:pt>
                      <c:pt idx="35">
                        <c:v>3.8455897684683826E-2</c:v>
                      </c:pt>
                      <c:pt idx="36">
                        <c:v>3.7239272435559911E-2</c:v>
                      </c:pt>
                      <c:pt idx="37">
                        <c:v>3.7841803500469062E-2</c:v>
                      </c:pt>
                      <c:pt idx="38">
                        <c:v>3.2619739389982527E-2</c:v>
                      </c:pt>
                      <c:pt idx="39">
                        <c:v>3.0150328433350637E-2</c:v>
                      </c:pt>
                      <c:pt idx="40">
                        <c:v>2.8879101957028475E-2</c:v>
                      </c:pt>
                      <c:pt idx="41">
                        <c:v>3.1792123724869947E-2</c:v>
                      </c:pt>
                      <c:pt idx="42">
                        <c:v>3.3038339419858342E-2</c:v>
                      </c:pt>
                      <c:pt idx="43">
                        <c:v>2.9937285518240042E-2</c:v>
                      </c:pt>
                      <c:pt idx="44">
                        <c:v>3.0342387544893379E-2</c:v>
                      </c:pt>
                      <c:pt idx="45">
                        <c:v>3.4530173415224352E-2</c:v>
                      </c:pt>
                      <c:pt idx="46">
                        <c:v>3.5651325559679536E-2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6BB3-4D63-9A54-77452945B2AB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v>% improvement from Base Line 2017</c:v>
                </c:tx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'2017 Ameristar Prod Measure'!$J$12:$BD$12</c15:sqref>
                        </c15:formulaRef>
                      </c:ext>
                    </c:extLst>
                    <c:strCache>
                      <c:ptCount val="47"/>
                      <c:pt idx="0">
                        <c:v>2017-2</c:v>
                      </c:pt>
                      <c:pt idx="1">
                        <c:v>2017-3</c:v>
                      </c:pt>
                      <c:pt idx="2">
                        <c:v>2017-4</c:v>
                      </c:pt>
                      <c:pt idx="3">
                        <c:v>2017-5</c:v>
                      </c:pt>
                      <c:pt idx="4">
                        <c:v>2017-6</c:v>
                      </c:pt>
                      <c:pt idx="5">
                        <c:v>2017-7</c:v>
                      </c:pt>
                      <c:pt idx="6">
                        <c:v>2017-8</c:v>
                      </c:pt>
                      <c:pt idx="7">
                        <c:v>2017-9</c:v>
                      </c:pt>
                      <c:pt idx="8">
                        <c:v>2017-10</c:v>
                      </c:pt>
                      <c:pt idx="9">
                        <c:v>2017-11</c:v>
                      </c:pt>
                      <c:pt idx="10">
                        <c:v>2017-12</c:v>
                      </c:pt>
                      <c:pt idx="11">
                        <c:v>2017-13</c:v>
                      </c:pt>
                      <c:pt idx="12">
                        <c:v>2017-14</c:v>
                      </c:pt>
                      <c:pt idx="13">
                        <c:v>2017-15</c:v>
                      </c:pt>
                      <c:pt idx="14">
                        <c:v>2017-16</c:v>
                      </c:pt>
                      <c:pt idx="15">
                        <c:v>2017-17</c:v>
                      </c:pt>
                      <c:pt idx="16">
                        <c:v>2017-18</c:v>
                      </c:pt>
                      <c:pt idx="17">
                        <c:v>2017-19</c:v>
                      </c:pt>
                      <c:pt idx="18">
                        <c:v>2017-20</c:v>
                      </c:pt>
                      <c:pt idx="19">
                        <c:v>2017-21</c:v>
                      </c:pt>
                      <c:pt idx="20">
                        <c:v>2017-22</c:v>
                      </c:pt>
                      <c:pt idx="21">
                        <c:v>2017-23</c:v>
                      </c:pt>
                      <c:pt idx="22">
                        <c:v>2017-24</c:v>
                      </c:pt>
                      <c:pt idx="23">
                        <c:v>2017-25</c:v>
                      </c:pt>
                      <c:pt idx="24">
                        <c:v>2017-26</c:v>
                      </c:pt>
                      <c:pt idx="25">
                        <c:v>2017-27</c:v>
                      </c:pt>
                      <c:pt idx="26">
                        <c:v>2017-28</c:v>
                      </c:pt>
                      <c:pt idx="27">
                        <c:v>2017-29</c:v>
                      </c:pt>
                      <c:pt idx="28">
                        <c:v>2017-30</c:v>
                      </c:pt>
                      <c:pt idx="29">
                        <c:v>2017-31</c:v>
                      </c:pt>
                      <c:pt idx="30">
                        <c:v>2017-32</c:v>
                      </c:pt>
                      <c:pt idx="31">
                        <c:v>2017-33</c:v>
                      </c:pt>
                      <c:pt idx="32">
                        <c:v>2017-34</c:v>
                      </c:pt>
                      <c:pt idx="33">
                        <c:v>2017-35</c:v>
                      </c:pt>
                      <c:pt idx="34">
                        <c:v>2017-36</c:v>
                      </c:pt>
                      <c:pt idx="35">
                        <c:v>2017-37</c:v>
                      </c:pt>
                      <c:pt idx="36">
                        <c:v>2017-38</c:v>
                      </c:pt>
                      <c:pt idx="37">
                        <c:v>2017-39</c:v>
                      </c:pt>
                      <c:pt idx="38">
                        <c:v>2017-40</c:v>
                      </c:pt>
                      <c:pt idx="39">
                        <c:v>2017-41</c:v>
                      </c:pt>
                      <c:pt idx="40">
                        <c:v>2017-42</c:v>
                      </c:pt>
                      <c:pt idx="41">
                        <c:v>2017-43</c:v>
                      </c:pt>
                      <c:pt idx="42">
                        <c:v>2017-44</c:v>
                      </c:pt>
                      <c:pt idx="43">
                        <c:v>2017-45</c:v>
                      </c:pt>
                      <c:pt idx="44">
                        <c:v>2017-46</c:v>
                      </c:pt>
                      <c:pt idx="45">
                        <c:v>2017-47</c:v>
                      </c:pt>
                      <c:pt idx="46">
                        <c:v>2017-48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'2017 Ameristar Prod Measure'!$J$16:$BD$16</c15:sqref>
                        </c15:formulaRef>
                      </c:ext>
                    </c:extLst>
                    <c:numCache>
                      <c:formatCode>0.0%</c:formatCode>
                      <c:ptCount val="47"/>
                      <c:pt idx="0">
                        <c:v>4.3485866379312066E-2</c:v>
                      </c:pt>
                      <c:pt idx="1">
                        <c:v>1.2895118073631417E-2</c:v>
                      </c:pt>
                      <c:pt idx="2">
                        <c:v>3.4964783594097382E-2</c:v>
                      </c:pt>
                      <c:pt idx="3">
                        <c:v>-4.1295835581016016E-2</c:v>
                      </c:pt>
                      <c:pt idx="4">
                        <c:v>9.4457430772121764E-2</c:v>
                      </c:pt>
                      <c:pt idx="5">
                        <c:v>6.3469048984093002E-2</c:v>
                      </c:pt>
                      <c:pt idx="6">
                        <c:v>6.5289033687889741E-2</c:v>
                      </c:pt>
                      <c:pt idx="7">
                        <c:v>3.2793338026217089E-2</c:v>
                      </c:pt>
                      <c:pt idx="8">
                        <c:v>-7.5015094869755883E-3</c:v>
                      </c:pt>
                      <c:pt idx="9">
                        <c:v>-3.4766125136032056E-3</c:v>
                      </c:pt>
                      <c:pt idx="10">
                        <c:v>1.4584996152638752E-2</c:v>
                      </c:pt>
                      <c:pt idx="11">
                        <c:v>-1.7261842371962821E-4</c:v>
                      </c:pt>
                      <c:pt idx="12">
                        <c:v>3.0187440754383399E-2</c:v>
                      </c:pt>
                      <c:pt idx="13">
                        <c:v>5.5834211857472393E-2</c:v>
                      </c:pt>
                      <c:pt idx="14">
                        <c:v>-1.943800232360815E-2</c:v>
                      </c:pt>
                      <c:pt idx="15">
                        <c:v>5.892005600405259E-4</c:v>
                      </c:pt>
                      <c:pt idx="16">
                        <c:v>4.3248892231570579E-2</c:v>
                      </c:pt>
                      <c:pt idx="17">
                        <c:v>7.8692084379126559E-2</c:v>
                      </c:pt>
                      <c:pt idx="18">
                        <c:v>0.16479205732153002</c:v>
                      </c:pt>
                      <c:pt idx="19">
                        <c:v>2.8930454545913475E-2</c:v>
                      </c:pt>
                      <c:pt idx="20">
                        <c:v>7.1298436717521119E-2</c:v>
                      </c:pt>
                      <c:pt idx="21">
                        <c:v>1.5285231714741165E-2</c:v>
                      </c:pt>
                      <c:pt idx="22">
                        <c:v>0.20862611544155274</c:v>
                      </c:pt>
                      <c:pt idx="23">
                        <c:v>-1.7615197175708031E-2</c:v>
                      </c:pt>
                      <c:pt idx="24">
                        <c:v>5.8554178000302715E-2</c:v>
                      </c:pt>
                      <c:pt idx="25">
                        <c:v>-7.8101884740487959E-3</c:v>
                      </c:pt>
                      <c:pt idx="26">
                        <c:v>7.2192177393620049E-2</c:v>
                      </c:pt>
                      <c:pt idx="27">
                        <c:v>5.9311832992436919E-3</c:v>
                      </c:pt>
                      <c:pt idx="28">
                        <c:v>0.10893577175839808</c:v>
                      </c:pt>
                      <c:pt idx="29">
                        <c:v>-7.0511159362129927E-3</c:v>
                      </c:pt>
                      <c:pt idx="30">
                        <c:v>0.12241919876972851</c:v>
                      </c:pt>
                      <c:pt idx="31">
                        <c:v>3.5185341704116135E-2</c:v>
                      </c:pt>
                      <c:pt idx="32">
                        <c:v>2.2333250500949031E-2</c:v>
                      </c:pt>
                      <c:pt idx="33">
                        <c:v>7.89349169238589E-2</c:v>
                      </c:pt>
                      <c:pt idx="34">
                        <c:v>-5.2255710943382994E-3</c:v>
                      </c:pt>
                      <c:pt idx="35">
                        <c:v>-5.7625319139292364E-2</c:v>
                      </c:pt>
                      <c:pt idx="36">
                        <c:v>-1.1676336707445722E-2</c:v>
                      </c:pt>
                      <c:pt idx="37">
                        <c:v>6.2059717335595677E-2</c:v>
                      </c:pt>
                      <c:pt idx="38">
                        <c:v>-0.17117298688214433</c:v>
                      </c:pt>
                      <c:pt idx="39">
                        <c:v>-4.3436772781338506E-2</c:v>
                      </c:pt>
                      <c:pt idx="40">
                        <c:v>-2.6141779551482558E-2</c:v>
                      </c:pt>
                      <c:pt idx="41">
                        <c:v>0.27763341172519529</c:v>
                      </c:pt>
                      <c:pt idx="42">
                        <c:v>0.10708340003067818</c:v>
                      </c:pt>
                      <c:pt idx="43">
                        <c:v>-9.1334261422368224E-2</c:v>
                      </c:pt>
                      <c:pt idx="44">
                        <c:v>4.9711981544336092E-2</c:v>
                      </c:pt>
                      <c:pt idx="45">
                        <c:v>0.31928330646617153</c:v>
                      </c:pt>
                      <c:pt idx="46">
                        <c:v>0.11813450949883419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BB3-4D63-9A54-77452945B2AB}"/>
                  </c:ext>
                </c:extLst>
              </c15:ser>
            </c15:filteredLineSeries>
          </c:ext>
        </c:extLst>
      </c:lineChart>
      <c:catAx>
        <c:axId val="18121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213056"/>
        <c:crosses val="autoZero"/>
        <c:auto val="1"/>
        <c:lblAlgn val="ctr"/>
        <c:lblOffset val="100"/>
        <c:noMultiLvlLbl val="0"/>
      </c:catAx>
      <c:valAx>
        <c:axId val="1812130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Standard Labor Hours/ Acutal Hours + OT Priemum</a:t>
                </a:r>
              </a:p>
            </c:rich>
          </c:tx>
          <c:layout>
            <c:manualLayout>
              <c:xMode val="edge"/>
              <c:yMode val="edge"/>
              <c:x val="2.5430390624797978E-2"/>
              <c:y val="0.171671863807738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211520"/>
        <c:crosses val="autoZero"/>
        <c:crossBetween val="between"/>
      </c:valAx>
      <c:valAx>
        <c:axId val="181215232"/>
        <c:scaling>
          <c:orientation val="minMax"/>
          <c:max val="0.32500000000000007"/>
          <c:min val="-0.4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217152"/>
        <c:crosses val="max"/>
        <c:crossBetween val="between"/>
        <c:majorUnit val="0.1"/>
      </c:valAx>
      <c:catAx>
        <c:axId val="181217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121523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25" l="0.2" r="0.2" t="0.25" header="0.30000000000000032" footer="0.30000000000000032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Ameristar Monthly Productivity Measure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008456024340915"/>
          <c:y val="9.6915444580347898E-2"/>
          <c:w val="0.7930445871384606"/>
          <c:h val="0.71851758496999396"/>
        </c:manualLayout>
      </c:layout>
      <c:barChart>
        <c:barDir val="col"/>
        <c:grouping val="clustered"/>
        <c:varyColors val="0"/>
        <c:ser>
          <c:idx val="0"/>
          <c:order val="2"/>
          <c:tx>
            <c:strRef>
              <c:f>'Ameristar Prod Measure'!$A$19</c:f>
              <c:strCache>
                <c:ptCount val="1"/>
                <c:pt idx="0">
                  <c:v>Monthly-Actual 2018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FDA-4865-AC20-BE75271B5D34}"/>
              </c:ext>
            </c:extLst>
          </c:dPt>
          <c:cat>
            <c:numRef>
              <c:f>'Ameristar Prod Measure'!$B$18:$M$18</c:f>
              <c:numCache>
                <c:formatCode>mmm\-yy</c:formatCode>
                <c:ptCount val="12"/>
                <c:pt idx="0">
                  <c:v>43116</c:v>
                </c:pt>
                <c:pt idx="1">
                  <c:v>43147</c:v>
                </c:pt>
                <c:pt idx="2">
                  <c:v>43175</c:v>
                </c:pt>
                <c:pt idx="3">
                  <c:v>43206</c:v>
                </c:pt>
                <c:pt idx="4">
                  <c:v>43236</c:v>
                </c:pt>
                <c:pt idx="5">
                  <c:v>43267</c:v>
                </c:pt>
                <c:pt idx="6">
                  <c:v>43297</c:v>
                </c:pt>
                <c:pt idx="7">
                  <c:v>43328</c:v>
                </c:pt>
                <c:pt idx="8">
                  <c:v>43359</c:v>
                </c:pt>
                <c:pt idx="9">
                  <c:v>43389</c:v>
                </c:pt>
                <c:pt idx="10">
                  <c:v>43420</c:v>
                </c:pt>
                <c:pt idx="11">
                  <c:v>43450</c:v>
                </c:pt>
              </c:numCache>
            </c:numRef>
          </c:cat>
          <c:val>
            <c:numRef>
              <c:f>'Ameristar Prod Measure'!$B$19:$M$19</c:f>
              <c:numCache>
                <c:formatCode>0.0%</c:formatCode>
                <c:ptCount val="12"/>
                <c:pt idx="0">
                  <c:v>0.64707055350086518</c:v>
                </c:pt>
                <c:pt idx="1">
                  <c:v>0.63648414137719234</c:v>
                </c:pt>
                <c:pt idx="2">
                  <c:v>0.6194985045768272</c:v>
                </c:pt>
                <c:pt idx="3">
                  <c:v>0.60718858559137445</c:v>
                </c:pt>
                <c:pt idx="4">
                  <c:v>0.63519152119296818</c:v>
                </c:pt>
                <c:pt idx="5">
                  <c:v>0.58144600912951616</c:v>
                </c:pt>
                <c:pt idx="6">
                  <c:v>0.65423525035383367</c:v>
                </c:pt>
                <c:pt idx="7">
                  <c:v>0.65529090310027027</c:v>
                </c:pt>
                <c:pt idx="8">
                  <c:v>0.73505412751476673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F4-4487-8FB7-AA7679AA7B80}"/>
            </c:ext>
          </c:extLst>
        </c:ser>
        <c:ser>
          <c:idx val="4"/>
          <c:order val="4"/>
          <c:tx>
            <c:v>2017 Monthly-Actual</c:v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cat>
            <c:numRef>
              <c:f>'2017 Ameristar Prod Measure'!$I$18:$T$18</c:f>
              <c:numCache>
                <c:formatCode>mmm\-yy</c:formatCode>
                <c:ptCount val="12"/>
                <c:pt idx="0">
                  <c:v>42751</c:v>
                </c:pt>
                <c:pt idx="1">
                  <c:v>42782</c:v>
                </c:pt>
                <c:pt idx="2">
                  <c:v>42810</c:v>
                </c:pt>
                <c:pt idx="3">
                  <c:v>42841</c:v>
                </c:pt>
                <c:pt idx="4">
                  <c:v>42871</c:v>
                </c:pt>
                <c:pt idx="5">
                  <c:v>42902</c:v>
                </c:pt>
                <c:pt idx="6">
                  <c:v>42932</c:v>
                </c:pt>
                <c:pt idx="7">
                  <c:v>42963</c:v>
                </c:pt>
                <c:pt idx="8">
                  <c:v>42994</c:v>
                </c:pt>
                <c:pt idx="9">
                  <c:v>43024</c:v>
                </c:pt>
                <c:pt idx="10">
                  <c:v>43055</c:v>
                </c:pt>
                <c:pt idx="11">
                  <c:v>43085</c:v>
                </c:pt>
              </c:numCache>
            </c:numRef>
          </c:cat>
          <c:val>
            <c:numRef>
              <c:f>'2017 Ameristar Prod Measure'!$I$19:$T$19</c:f>
              <c:numCache>
                <c:formatCode>0.0%</c:formatCode>
                <c:ptCount val="12"/>
                <c:pt idx="0">
                  <c:v>0.60352592043013753</c:v>
                </c:pt>
                <c:pt idx="1">
                  <c:v>0.63539303067877206</c:v>
                </c:pt>
                <c:pt idx="2">
                  <c:v>0.60751394877857268</c:v>
                </c:pt>
                <c:pt idx="3">
                  <c:v>0.61211649191616246</c:v>
                </c:pt>
                <c:pt idx="4">
                  <c:v>0.64913235843970107</c:v>
                </c:pt>
                <c:pt idx="5">
                  <c:v>0.64829098956554965</c:v>
                </c:pt>
                <c:pt idx="6">
                  <c:v>0.62235572934724603</c:v>
                </c:pt>
                <c:pt idx="7">
                  <c:v>0.64512208566238538</c:v>
                </c:pt>
                <c:pt idx="8">
                  <c:v>0.62231488432386983</c:v>
                </c:pt>
                <c:pt idx="9">
                  <c:v>0.57456811194926172</c:v>
                </c:pt>
                <c:pt idx="10">
                  <c:v>0.62529785989241404</c:v>
                </c:pt>
                <c:pt idx="11">
                  <c:v>0.64448933599176383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DA-4865-AC20-BE75271B5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240576"/>
        <c:axId val="181242880"/>
      </c:barChart>
      <c:lineChart>
        <c:grouping val="standard"/>
        <c:varyColors val="0"/>
        <c:ser>
          <c:idx val="2"/>
          <c:order val="3"/>
          <c:tx>
            <c:strRef>
              <c:f>'Ameristar Prod Measure'!$A$21</c:f>
              <c:strCache>
                <c:ptCount val="1"/>
                <c:pt idx="0">
                  <c:v>Base 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'Ameristar Prod Measure'!$B$18:$M$18</c:f>
              <c:numCache>
                <c:formatCode>mmm\-yy</c:formatCode>
                <c:ptCount val="12"/>
                <c:pt idx="0">
                  <c:v>43116</c:v>
                </c:pt>
                <c:pt idx="1">
                  <c:v>43147</c:v>
                </c:pt>
                <c:pt idx="2">
                  <c:v>43175</c:v>
                </c:pt>
                <c:pt idx="3">
                  <c:v>43206</c:v>
                </c:pt>
                <c:pt idx="4">
                  <c:v>43236</c:v>
                </c:pt>
                <c:pt idx="5">
                  <c:v>43267</c:v>
                </c:pt>
                <c:pt idx="6">
                  <c:v>43297</c:v>
                </c:pt>
                <c:pt idx="7">
                  <c:v>43328</c:v>
                </c:pt>
                <c:pt idx="8">
                  <c:v>43359</c:v>
                </c:pt>
                <c:pt idx="9">
                  <c:v>43389</c:v>
                </c:pt>
                <c:pt idx="10">
                  <c:v>43420</c:v>
                </c:pt>
                <c:pt idx="11">
                  <c:v>43450</c:v>
                </c:pt>
              </c:numCache>
            </c:numRef>
          </c:cat>
          <c:val>
            <c:numRef>
              <c:f>'Ameristar Prod Measure'!$B$21:$M$21</c:f>
              <c:numCache>
                <c:formatCode>0.0%</c:formatCode>
                <c:ptCount val="12"/>
                <c:pt idx="0">
                  <c:v>0.61299999999999999</c:v>
                </c:pt>
                <c:pt idx="1">
                  <c:v>0.61299999999999999</c:v>
                </c:pt>
                <c:pt idx="2">
                  <c:v>0.61299999999999999</c:v>
                </c:pt>
                <c:pt idx="3">
                  <c:v>0.61299999999999999</c:v>
                </c:pt>
                <c:pt idx="4">
                  <c:v>0.61299999999999999</c:v>
                </c:pt>
                <c:pt idx="5">
                  <c:v>0.61299999999999999</c:v>
                </c:pt>
                <c:pt idx="6">
                  <c:v>0.61299999999999999</c:v>
                </c:pt>
                <c:pt idx="7">
                  <c:v>0.61299999999999999</c:v>
                </c:pt>
                <c:pt idx="8">
                  <c:v>0.61299999999999999</c:v>
                </c:pt>
                <c:pt idx="9">
                  <c:v>0.61299999999999999</c:v>
                </c:pt>
                <c:pt idx="10">
                  <c:v>0.61299999999999999</c:v>
                </c:pt>
                <c:pt idx="11">
                  <c:v>0.61299999999999999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F4-4487-8FB7-AA7679AA7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240576"/>
        <c:axId val="181242880"/>
        <c:extLst>
          <c:ext xmlns:c15="http://schemas.microsoft.com/office/drawing/2012/chart" uri="{02D57815-91ED-43cb-92C2-25804820EDAC}">
            <c15:filteredLineSeries>
              <c15:ser>
                <c:idx val="6"/>
                <c:order val="6"/>
                <c:tx>
                  <c:v>2017 Base Line</c:v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'2017 Ameristar Prod Measure'!$I$18:$T$18</c15:sqref>
                        </c15:formulaRef>
                      </c:ext>
                    </c:extLst>
                    <c:numCache>
                      <c:formatCode>mmm\-yy</c:formatCode>
                      <c:ptCount val="12"/>
                      <c:pt idx="0">
                        <c:v>42751</c:v>
                      </c:pt>
                      <c:pt idx="1">
                        <c:v>42782</c:v>
                      </c:pt>
                      <c:pt idx="2">
                        <c:v>42810</c:v>
                      </c:pt>
                      <c:pt idx="3">
                        <c:v>42841</c:v>
                      </c:pt>
                      <c:pt idx="4">
                        <c:v>42871</c:v>
                      </c:pt>
                      <c:pt idx="5">
                        <c:v>42902</c:v>
                      </c:pt>
                      <c:pt idx="6">
                        <c:v>42932</c:v>
                      </c:pt>
                      <c:pt idx="7">
                        <c:v>42963</c:v>
                      </c:pt>
                      <c:pt idx="8">
                        <c:v>42994</c:v>
                      </c:pt>
                      <c:pt idx="9">
                        <c:v>43024</c:v>
                      </c:pt>
                      <c:pt idx="10">
                        <c:v>43055</c:v>
                      </c:pt>
                      <c:pt idx="11">
                        <c:v>43085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'2017 Ameristar Prod Measure'!$I$21:$T$21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0.60252454485554574</c:v>
                      </c:pt>
                      <c:pt idx="1">
                        <c:v>0.60252454485554574</c:v>
                      </c:pt>
                      <c:pt idx="2">
                        <c:v>0.60252454485554574</c:v>
                      </c:pt>
                      <c:pt idx="3">
                        <c:v>0.60252454485554574</c:v>
                      </c:pt>
                      <c:pt idx="4">
                        <c:v>0.60252454485554574</c:v>
                      </c:pt>
                      <c:pt idx="5">
                        <c:v>0.60252454485554574</c:v>
                      </c:pt>
                      <c:pt idx="6">
                        <c:v>0.60252454485554574</c:v>
                      </c:pt>
                      <c:pt idx="7">
                        <c:v>0.60252454485554574</c:v>
                      </c:pt>
                      <c:pt idx="8">
                        <c:v>0.60252454485554574</c:v>
                      </c:pt>
                      <c:pt idx="9">
                        <c:v>0.60252454485554574</c:v>
                      </c:pt>
                      <c:pt idx="10">
                        <c:v>0.60252454485554574</c:v>
                      </c:pt>
                      <c:pt idx="11">
                        <c:v>0.60252454485554574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0FDA-4865-AC20-BE75271B5D34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1"/>
          <c:order val="0"/>
          <c:tx>
            <c:strRef>
              <c:f>'Ameristar Prod Measure'!$A$20</c:f>
              <c:strCache>
                <c:ptCount val="1"/>
                <c:pt idx="0">
                  <c:v>YTD % improvement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7"/>
              <c:layout>
                <c:manualLayout>
                  <c:x val="7.492680624488381E-3"/>
                  <c:y val="-8.7591240875912413E-2"/>
                </c:manualLayout>
              </c:layout>
              <c:tx>
                <c:rich>
                  <a:bodyPr/>
                  <a:lstStyle/>
                  <a:p>
                    <a:r>
                      <a:rPr lang="en-US" sz="1400" b="1"/>
                      <a:t>2.6%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299-4998-B999-2F4276026B9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'2017 Ameristar Prod Measure'!$I$18:$T$18</c:f>
              <c:numCache>
                <c:formatCode>mmm\-yy</c:formatCode>
                <c:ptCount val="12"/>
                <c:pt idx="0">
                  <c:v>42751</c:v>
                </c:pt>
                <c:pt idx="1">
                  <c:v>42782</c:v>
                </c:pt>
                <c:pt idx="2">
                  <c:v>42810</c:v>
                </c:pt>
                <c:pt idx="3">
                  <c:v>42841</c:v>
                </c:pt>
                <c:pt idx="4">
                  <c:v>42871</c:v>
                </c:pt>
                <c:pt idx="5">
                  <c:v>42902</c:v>
                </c:pt>
                <c:pt idx="6">
                  <c:v>42932</c:v>
                </c:pt>
                <c:pt idx="7">
                  <c:v>42963</c:v>
                </c:pt>
                <c:pt idx="8">
                  <c:v>42994</c:v>
                </c:pt>
                <c:pt idx="9">
                  <c:v>43024</c:v>
                </c:pt>
                <c:pt idx="10">
                  <c:v>43055</c:v>
                </c:pt>
                <c:pt idx="11">
                  <c:v>43085</c:v>
                </c:pt>
              </c:numCache>
            </c:numRef>
          </c:cat>
          <c:val>
            <c:numRef>
              <c:f>'Ameristar Prod Measure'!$B$20:$I$20</c:f>
              <c:numCache>
                <c:formatCode>0.0%</c:formatCode>
                <c:ptCount val="8"/>
                <c:pt idx="0">
                  <c:v>5.5580022024249942E-2</c:v>
                </c:pt>
                <c:pt idx="1">
                  <c:v>4.7158292520727452E-2</c:v>
                </c:pt>
                <c:pt idx="2">
                  <c:v>3.3689924156319329E-2</c:v>
                </c:pt>
                <c:pt idx="3">
                  <c:v>2.1130726519523746E-2</c:v>
                </c:pt>
                <c:pt idx="4">
                  <c:v>2.4527157420655143E-2</c:v>
                </c:pt>
                <c:pt idx="5">
                  <c:v>1.1821126140039162E-2</c:v>
                </c:pt>
                <c:pt idx="6">
                  <c:v>1.9354781990605696E-2</c:v>
                </c:pt>
                <c:pt idx="7">
                  <c:v>2.5896828954758533E-2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F4-4487-8FB7-AA7679AA7B80}"/>
            </c:ext>
          </c:extLst>
        </c:ser>
        <c:ser>
          <c:idx val="3"/>
          <c:order val="1"/>
          <c:tx>
            <c:strRef>
              <c:f>'Ameristar Prod Measure'!$A$22</c:f>
              <c:strCache>
                <c:ptCount val="1"/>
                <c:pt idx="0">
                  <c:v>% improvement from Base Line</c:v>
                </c:pt>
              </c:strCache>
            </c:strRef>
          </c:tx>
          <c:spPr>
            <a:ln>
              <a:solidFill>
                <a:srgbClr val="1F4E79"/>
              </a:solidFill>
            </a:ln>
          </c:spPr>
          <c:marker>
            <c:symbol val="none"/>
          </c:marker>
          <c:cat>
            <c:numRef>
              <c:f>'2017 Ameristar Prod Measure'!$I$18:$T$18</c:f>
              <c:numCache>
                <c:formatCode>mmm\-yy</c:formatCode>
                <c:ptCount val="12"/>
                <c:pt idx="0">
                  <c:v>42751</c:v>
                </c:pt>
                <c:pt idx="1">
                  <c:v>42782</c:v>
                </c:pt>
                <c:pt idx="2">
                  <c:v>42810</c:v>
                </c:pt>
                <c:pt idx="3">
                  <c:v>42841</c:v>
                </c:pt>
                <c:pt idx="4">
                  <c:v>42871</c:v>
                </c:pt>
                <c:pt idx="5">
                  <c:v>42902</c:v>
                </c:pt>
                <c:pt idx="6">
                  <c:v>42932</c:v>
                </c:pt>
                <c:pt idx="7">
                  <c:v>42963</c:v>
                </c:pt>
                <c:pt idx="8">
                  <c:v>42994</c:v>
                </c:pt>
                <c:pt idx="9">
                  <c:v>43024</c:v>
                </c:pt>
                <c:pt idx="10">
                  <c:v>43055</c:v>
                </c:pt>
                <c:pt idx="11">
                  <c:v>43085</c:v>
                </c:pt>
              </c:numCache>
            </c:numRef>
          </c:cat>
          <c:val>
            <c:numRef>
              <c:f>'Ameristar Prod Measure'!$B$22:$I$22</c:f>
              <c:numCache>
                <c:formatCode>0.0%</c:formatCode>
                <c:ptCount val="8"/>
                <c:pt idx="0">
                  <c:v>5.5580022024249942E-2</c:v>
                </c:pt>
                <c:pt idx="1">
                  <c:v>3.8310181691993961E-2</c:v>
                </c:pt>
                <c:pt idx="2">
                  <c:v>1.0601149391235243E-2</c:v>
                </c:pt>
                <c:pt idx="3">
                  <c:v>-9.480284516518056E-3</c:v>
                </c:pt>
                <c:pt idx="4">
                  <c:v>3.6201502761775251E-2</c:v>
                </c:pt>
                <c:pt idx="5">
                  <c:v>-5.1474699625585374E-2</c:v>
                </c:pt>
                <c:pt idx="6">
                  <c:v>6.7267945112289951E-2</c:v>
                </c:pt>
                <c:pt idx="7">
                  <c:v>6.8990053997178169E-2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5E-4285-907A-EB25C7A96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248000"/>
        <c:axId val="181238784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v>2017 YTD % Improvement</c:v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'2017 Ameristar Prod Measure'!$I$18:$T$18</c15:sqref>
                        </c15:formulaRef>
                      </c:ext>
                    </c:extLst>
                    <c:numCache>
                      <c:formatCode>mmm\-yy</c:formatCode>
                      <c:ptCount val="12"/>
                      <c:pt idx="0">
                        <c:v>42751</c:v>
                      </c:pt>
                      <c:pt idx="1">
                        <c:v>42782</c:v>
                      </c:pt>
                      <c:pt idx="2">
                        <c:v>42810</c:v>
                      </c:pt>
                      <c:pt idx="3">
                        <c:v>42841</c:v>
                      </c:pt>
                      <c:pt idx="4">
                        <c:v>42871</c:v>
                      </c:pt>
                      <c:pt idx="5">
                        <c:v>42902</c:v>
                      </c:pt>
                      <c:pt idx="6">
                        <c:v>42932</c:v>
                      </c:pt>
                      <c:pt idx="7">
                        <c:v>42963</c:v>
                      </c:pt>
                      <c:pt idx="8">
                        <c:v>42994</c:v>
                      </c:pt>
                      <c:pt idx="9">
                        <c:v>43024</c:v>
                      </c:pt>
                      <c:pt idx="10">
                        <c:v>43055</c:v>
                      </c:pt>
                      <c:pt idx="11">
                        <c:v>43085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'2017 Ameristar Prod Measure'!$I$20:$T$20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1.6619664429302627E-3</c:v>
                      </c:pt>
                      <c:pt idx="1">
                        <c:v>2.955377204228582E-2</c:v>
                      </c:pt>
                      <c:pt idx="2">
                        <c:v>2.1508041243499365E-2</c:v>
                      </c:pt>
                      <c:pt idx="3">
                        <c:v>2.0201838920012927E-2</c:v>
                      </c:pt>
                      <c:pt idx="4">
                        <c:v>3.0608752224523972E-2</c:v>
                      </c:pt>
                      <c:pt idx="5">
                        <c:v>3.7347885120149416E-2</c:v>
                      </c:pt>
                      <c:pt idx="6">
                        <c:v>3.6785333751665927E-2</c:v>
                      </c:pt>
                      <c:pt idx="7">
                        <c:v>4.1788305907177525E-2</c:v>
                      </c:pt>
                      <c:pt idx="8">
                        <c:v>4.0831006504312484E-2</c:v>
                      </c:pt>
                      <c:pt idx="9">
                        <c:v>3.2619739389982527E-2</c:v>
                      </c:pt>
                      <c:pt idx="10">
                        <c:v>3.3038339419858342E-2</c:v>
                      </c:pt>
                      <c:pt idx="11">
                        <c:v>3.5651325559679536E-2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FDA-4865-AC20-BE75271B5D34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v>2017 % Improvement from Base Line</c:v>
                </c:tx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'2017 Ameristar Prod Measure'!$I$18:$T$18</c15:sqref>
                        </c15:formulaRef>
                      </c:ext>
                    </c:extLst>
                    <c:numCache>
                      <c:formatCode>mmm\-yy</c:formatCode>
                      <c:ptCount val="12"/>
                      <c:pt idx="0">
                        <c:v>42751</c:v>
                      </c:pt>
                      <c:pt idx="1">
                        <c:v>42782</c:v>
                      </c:pt>
                      <c:pt idx="2">
                        <c:v>42810</c:v>
                      </c:pt>
                      <c:pt idx="3">
                        <c:v>42841</c:v>
                      </c:pt>
                      <c:pt idx="4">
                        <c:v>42871</c:v>
                      </c:pt>
                      <c:pt idx="5">
                        <c:v>42902</c:v>
                      </c:pt>
                      <c:pt idx="6">
                        <c:v>42932</c:v>
                      </c:pt>
                      <c:pt idx="7">
                        <c:v>42963</c:v>
                      </c:pt>
                      <c:pt idx="8">
                        <c:v>42994</c:v>
                      </c:pt>
                      <c:pt idx="9">
                        <c:v>43024</c:v>
                      </c:pt>
                      <c:pt idx="10">
                        <c:v>43055</c:v>
                      </c:pt>
                      <c:pt idx="11">
                        <c:v>43085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'2017 Ameristar Prod Measure'!$I$22:$T$22</c15:sqref>
                        </c15:formulaRef>
                      </c:ext>
                    </c:extLst>
                    <c:numCache>
                      <c:formatCode>0.0%</c:formatCode>
                      <c:ptCount val="12"/>
                      <c:pt idx="0">
                        <c:v>1.6619664429302627E-3</c:v>
                      </c:pt>
                      <c:pt idx="1">
                        <c:v>5.4551281111886452E-2</c:v>
                      </c:pt>
                      <c:pt idx="2">
                        <c:v>8.2808309895876508E-3</c:v>
                      </c:pt>
                      <c:pt idx="3">
                        <c:v>1.591959554596456E-2</c:v>
                      </c:pt>
                      <c:pt idx="4">
                        <c:v>7.7354215661586734E-2</c:v>
                      </c:pt>
                      <c:pt idx="5">
                        <c:v>7.595780968719934E-2</c:v>
                      </c:pt>
                      <c:pt idx="6">
                        <c:v>3.291348819068407E-2</c:v>
                      </c:pt>
                      <c:pt idx="7">
                        <c:v>7.0698432405027267E-2</c:v>
                      </c:pt>
                      <c:pt idx="8">
                        <c:v>3.2845698382409916E-2</c:v>
                      </c:pt>
                      <c:pt idx="9">
                        <c:v>-4.6398828304972217E-2</c:v>
                      </c:pt>
                      <c:pt idx="10">
                        <c:v>3.779649348945302E-2</c:v>
                      </c:pt>
                      <c:pt idx="11">
                        <c:v>6.9648268264787649E-2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FDA-4865-AC20-BE75271B5D34}"/>
                  </c:ext>
                </c:extLst>
              </c15:ser>
            </c15:filteredLineSeries>
          </c:ext>
        </c:extLst>
      </c:lineChart>
      <c:dateAx>
        <c:axId val="181240576"/>
        <c:scaling>
          <c:orientation val="minMax"/>
        </c:scaling>
        <c:delete val="1"/>
        <c:axPos val="b"/>
        <c:numFmt formatCode="mmm\-yy" sourceLinked="1"/>
        <c:majorTickMark val="none"/>
        <c:minorTickMark val="none"/>
        <c:tickLblPos val="nextTo"/>
        <c:crossAx val="181242880"/>
        <c:crosses val="autoZero"/>
        <c:auto val="1"/>
        <c:lblOffset val="100"/>
        <c:baseTimeUnit val="months"/>
      </c:dateAx>
      <c:valAx>
        <c:axId val="181242880"/>
        <c:scaling>
          <c:orientation val="minMax"/>
          <c:max val="0.75000000000000011"/>
          <c:min val="0.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Standard Labor Hours/ Actual Hours + OT Priemum</a:t>
                </a:r>
              </a:p>
            </c:rich>
          </c:tx>
          <c:layout>
            <c:manualLayout>
              <c:xMode val="edge"/>
              <c:yMode val="edge"/>
              <c:x val="6.4422982815786622E-2"/>
              <c:y val="0.2054084334348721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240576"/>
        <c:crosses val="autoZero"/>
        <c:crossBetween val="between"/>
        <c:majorUnit val="5.000000000000001E-2"/>
      </c:valAx>
      <c:valAx>
        <c:axId val="181238784"/>
        <c:scaling>
          <c:orientation val="minMax"/>
          <c:max val="0.32500000000000007"/>
          <c:min val="-0.4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</a:t>
                </a:r>
              </a:p>
            </c:rich>
          </c:tx>
          <c:layout>
            <c:manualLayout>
              <c:xMode val="edge"/>
              <c:yMode val="edge"/>
              <c:x val="0.97540424986194463"/>
              <c:y val="0.4146949441538785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248000"/>
        <c:crosses val="max"/>
        <c:crossBetween val="between"/>
      </c:valAx>
      <c:dateAx>
        <c:axId val="18124800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one"/>
        <c:crossAx val="181238784"/>
        <c:crosses val="autoZero"/>
        <c:auto val="1"/>
        <c:lblOffset val="100"/>
        <c:baseTimeUnit val="months"/>
      </c:dateAx>
      <c:dTable>
        <c:showHorzBorder val="1"/>
        <c:showVertBorder val="1"/>
        <c:showOutline val="1"/>
        <c:showKeys val="1"/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25" l="0.2" r="0.2" t="0.25" header="0.30000000000000032" footer="0.30000000000000032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Ameristar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 Weekly Productivity Measure</a:t>
            </a:r>
          </a:p>
        </c:rich>
      </c:tx>
      <c:layout>
        <c:manualLayout>
          <c:xMode val="edge"/>
          <c:yMode val="edge"/>
          <c:x val="0.44881001725008812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0609917267936922E-2"/>
          <c:y val="8.3545545072388303E-2"/>
          <c:w val="0.9008084567278728"/>
          <c:h val="0.807091129143063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'2017 Ameristar Prod Measure'!$A$13</c:f>
              <c:strCache>
                <c:ptCount val="1"/>
                <c:pt idx="0">
                  <c:v>Weekly-Actual</c:v>
                </c:pt>
              </c:strCache>
            </c:strRef>
          </c:tx>
          <c:invertIfNegative val="0"/>
          <c:cat>
            <c:strRef>
              <c:f>'2017 Ameristar Prod Measure'!$B$12:$BD$12</c:f>
              <c:strCache>
                <c:ptCount val="55"/>
                <c:pt idx="0">
                  <c:v>Q1-16</c:v>
                </c:pt>
                <c:pt idx="1">
                  <c:v>Q2-16</c:v>
                </c:pt>
                <c:pt idx="2">
                  <c:v>Q3-16</c:v>
                </c:pt>
                <c:pt idx="3">
                  <c:v>2016-10</c:v>
                </c:pt>
                <c:pt idx="4">
                  <c:v>2016-11</c:v>
                </c:pt>
                <c:pt idx="5">
                  <c:v>2016-12</c:v>
                </c:pt>
                <c:pt idx="6">
                  <c:v>Q4-16</c:v>
                </c:pt>
                <c:pt idx="7">
                  <c:v>2017-1</c:v>
                </c:pt>
                <c:pt idx="8">
                  <c:v>2017-2</c:v>
                </c:pt>
                <c:pt idx="9">
                  <c:v>2017-3</c:v>
                </c:pt>
                <c:pt idx="10">
                  <c:v>2017-4</c:v>
                </c:pt>
                <c:pt idx="11">
                  <c:v>2017-5</c:v>
                </c:pt>
                <c:pt idx="12">
                  <c:v>2017-6</c:v>
                </c:pt>
                <c:pt idx="13">
                  <c:v>2017-7</c:v>
                </c:pt>
                <c:pt idx="14">
                  <c:v>2017-8</c:v>
                </c:pt>
                <c:pt idx="15">
                  <c:v>2017-9</c:v>
                </c:pt>
                <c:pt idx="16">
                  <c:v>2017-10</c:v>
                </c:pt>
                <c:pt idx="17">
                  <c:v>2017-11</c:v>
                </c:pt>
                <c:pt idx="18">
                  <c:v>2017-12</c:v>
                </c:pt>
                <c:pt idx="19">
                  <c:v>2017-13</c:v>
                </c:pt>
                <c:pt idx="20">
                  <c:v>2017-14</c:v>
                </c:pt>
                <c:pt idx="21">
                  <c:v>2017-15</c:v>
                </c:pt>
                <c:pt idx="22">
                  <c:v>2017-16</c:v>
                </c:pt>
                <c:pt idx="23">
                  <c:v>2017-17</c:v>
                </c:pt>
                <c:pt idx="24">
                  <c:v>2017-18</c:v>
                </c:pt>
                <c:pt idx="25">
                  <c:v>2017-19</c:v>
                </c:pt>
                <c:pt idx="26">
                  <c:v>2017-20</c:v>
                </c:pt>
                <c:pt idx="27">
                  <c:v>2017-21</c:v>
                </c:pt>
                <c:pt idx="28">
                  <c:v>2017-22</c:v>
                </c:pt>
                <c:pt idx="29">
                  <c:v>2017-23</c:v>
                </c:pt>
                <c:pt idx="30">
                  <c:v>2017-24</c:v>
                </c:pt>
                <c:pt idx="31">
                  <c:v>2017-25</c:v>
                </c:pt>
                <c:pt idx="32">
                  <c:v>2017-26</c:v>
                </c:pt>
                <c:pt idx="33">
                  <c:v>2017-27</c:v>
                </c:pt>
                <c:pt idx="34">
                  <c:v>2017-28</c:v>
                </c:pt>
                <c:pt idx="35">
                  <c:v>2017-29</c:v>
                </c:pt>
                <c:pt idx="36">
                  <c:v>2017-30</c:v>
                </c:pt>
                <c:pt idx="37">
                  <c:v>2017-31</c:v>
                </c:pt>
                <c:pt idx="38">
                  <c:v>2017-32</c:v>
                </c:pt>
                <c:pt idx="39">
                  <c:v>2017-33</c:v>
                </c:pt>
                <c:pt idx="40">
                  <c:v>2017-34</c:v>
                </c:pt>
                <c:pt idx="41">
                  <c:v>2017-35</c:v>
                </c:pt>
                <c:pt idx="42">
                  <c:v>2017-36</c:v>
                </c:pt>
                <c:pt idx="43">
                  <c:v>2017-37</c:v>
                </c:pt>
                <c:pt idx="44">
                  <c:v>2017-38</c:v>
                </c:pt>
                <c:pt idx="45">
                  <c:v>2017-39</c:v>
                </c:pt>
                <c:pt idx="46">
                  <c:v>2017-40</c:v>
                </c:pt>
                <c:pt idx="47">
                  <c:v>2017-41</c:v>
                </c:pt>
                <c:pt idx="48">
                  <c:v>2017-42</c:v>
                </c:pt>
                <c:pt idx="49">
                  <c:v>2017-43</c:v>
                </c:pt>
                <c:pt idx="50">
                  <c:v>2017-44</c:v>
                </c:pt>
                <c:pt idx="51">
                  <c:v>2017-45</c:v>
                </c:pt>
                <c:pt idx="52">
                  <c:v>2017-46</c:v>
                </c:pt>
                <c:pt idx="53">
                  <c:v>2017-47</c:v>
                </c:pt>
                <c:pt idx="54">
                  <c:v>2017-48</c:v>
                </c:pt>
              </c:strCache>
            </c:strRef>
          </c:cat>
          <c:val>
            <c:numRef>
              <c:f>'2017 Ameristar Prod Measure'!$B$13:$BD$13</c:f>
              <c:numCache>
                <c:formatCode>0.0%</c:formatCode>
                <c:ptCount val="55"/>
                <c:pt idx="0">
                  <c:v>0.59440044364453748</c:v>
                </c:pt>
                <c:pt idx="1">
                  <c:v>0.63382832751934215</c:v>
                </c:pt>
                <c:pt idx="2">
                  <c:v>0.60182924449110065</c:v>
                </c:pt>
                <c:pt idx="3">
                  <c:v>0.53088256310625515</c:v>
                </c:pt>
                <c:pt idx="4">
                  <c:v>0.62390884588984286</c:v>
                </c:pt>
                <c:pt idx="5">
                  <c:v>0.65895489323115697</c:v>
                </c:pt>
                <c:pt idx="6">
                  <c:v>0.60252454485554574</c:v>
                </c:pt>
                <c:pt idx="7">
                  <c:v>0.51065984946566889</c:v>
                </c:pt>
                <c:pt idx="8">
                  <c:v>0.62872584670338982</c:v>
                </c:pt>
                <c:pt idx="9">
                  <c:v>0.61029417000371899</c:v>
                </c:pt>
                <c:pt idx="10">
                  <c:v>0.62359168517655195</c:v>
                </c:pt>
                <c:pt idx="11">
                  <c:v>0.57764279031766463</c:v>
                </c:pt>
                <c:pt idx="12">
                  <c:v>0.65943746533974268</c:v>
                </c:pt>
                <c:pt idx="13">
                  <c:v>0.64076620470710077</c:v>
                </c:pt>
                <c:pt idx="14">
                  <c:v>0.64186279016239989</c:v>
                </c:pt>
                <c:pt idx="15">
                  <c:v>0.62228333592408624</c:v>
                </c:pt>
                <c:pt idx="16">
                  <c:v>0.59800470126617622</c:v>
                </c:pt>
                <c:pt idx="17">
                  <c:v>0.60042980048314787</c:v>
                </c:pt>
                <c:pt idx="18">
                  <c:v>0.61131236302413428</c:v>
                </c:pt>
                <c:pt idx="19">
                  <c:v>0.60242053801836037</c:v>
                </c:pt>
                <c:pt idx="20">
                  <c:v>0.62071321885643438</c:v>
                </c:pt>
                <c:pt idx="21">
                  <c:v>0.63616602794233745</c:v>
                </c:pt>
                <c:pt idx="22">
                  <c:v>0.59081267135261273</c:v>
                </c:pt>
                <c:pt idx="23">
                  <c:v>0.60287955265481274</c:v>
                </c:pt>
                <c:pt idx="24">
                  <c:v>0.62858306396287933</c:v>
                </c:pt>
                <c:pt idx="25">
                  <c:v>0.64993845717981313</c:v>
                </c:pt>
                <c:pt idx="26">
                  <c:v>0.70181580418900957</c:v>
                </c:pt>
                <c:pt idx="27">
                  <c:v>0.61995585381328633</c:v>
                </c:pt>
                <c:pt idx="28">
                  <c:v>0.64548360298768204</c:v>
                </c:pt>
                <c:pt idx="29">
                  <c:v>0.61173427213748177</c:v>
                </c:pt>
                <c:pt idx="30">
                  <c:v>0.72822690010694791</c:v>
                </c:pt>
                <c:pt idx="31">
                  <c:v>0.59191095619471157</c:v>
                </c:pt>
                <c:pt idx="32">
                  <c:v>0.63780487430456878</c:v>
                </c:pt>
                <c:pt idx="33">
                  <c:v>0.59781871459998348</c:v>
                </c:pt>
                <c:pt idx="34">
                  <c:v>0.64602210368176749</c:v>
                </c:pt>
                <c:pt idx="35">
                  <c:v>0.60609822837337735</c:v>
                </c:pt>
                <c:pt idx="36">
                  <c:v>0.6681610211527621</c:v>
                </c:pt>
                <c:pt idx="37">
                  <c:v>0.59827607443535535</c:v>
                </c:pt>
                <c:pt idx="38">
                  <c:v>0.67628511687585702</c:v>
                </c:pt>
                <c:pt idx="39">
                  <c:v>0.62372457685140514</c:v>
                </c:pt>
                <c:pt idx="40">
                  <c:v>0.61598087644877497</c:v>
                </c:pt>
                <c:pt idx="41">
                  <c:v>0.65008476974830409</c:v>
                </c:pt>
                <c:pt idx="42">
                  <c:v>0.59937601001031926</c:v>
                </c:pt>
                <c:pt idx="43">
                  <c:v>0.56780387566898805</c:v>
                </c:pt>
                <c:pt idx="44">
                  <c:v>0.59548926539531188</c:v>
                </c:pt>
                <c:pt idx="45">
                  <c:v>0.63991704779703928</c:v>
                </c:pt>
                <c:pt idx="46">
                  <c:v>0.49938861884281743</c:v>
                </c:pt>
                <c:pt idx="47">
                  <c:v>0.57635282310547598</c:v>
                </c:pt>
                <c:pt idx="48">
                  <c:v>0.58677348102957472</c:v>
                </c:pt>
                <c:pt idx="49">
                  <c:v>0.7698054898919614</c:v>
                </c:pt>
                <c:pt idx="50">
                  <c:v>0.66704492172061447</c:v>
                </c:pt>
                <c:pt idx="51">
                  <c:v>0.54749341056231593</c:v>
                </c:pt>
                <c:pt idx="52">
                  <c:v>0.63247723390941413</c:v>
                </c:pt>
                <c:pt idx="53">
                  <c:v>0.79490057376404943</c:v>
                </c:pt>
                <c:pt idx="54">
                  <c:v>0.67370348642306399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5-4F11-A9D9-1A77ECCB2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1316992"/>
        <c:axId val="181322880"/>
      </c:barChart>
      <c:lineChart>
        <c:grouping val="standard"/>
        <c:varyColors val="0"/>
        <c:ser>
          <c:idx val="2"/>
          <c:order val="2"/>
          <c:tx>
            <c:strRef>
              <c:f>'2017 Ameristar Prod Measure'!$A$15</c:f>
              <c:strCache>
                <c:ptCount val="1"/>
                <c:pt idx="0">
                  <c:v>Base 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'2017 Ameristar Prod Measure'!$B$12:$AQ$12</c:f>
              <c:strCache>
                <c:ptCount val="42"/>
                <c:pt idx="0">
                  <c:v>Q1-16</c:v>
                </c:pt>
                <c:pt idx="1">
                  <c:v>Q2-16</c:v>
                </c:pt>
                <c:pt idx="2">
                  <c:v>Q3-16</c:v>
                </c:pt>
                <c:pt idx="3">
                  <c:v>2016-10</c:v>
                </c:pt>
                <c:pt idx="4">
                  <c:v>2016-11</c:v>
                </c:pt>
                <c:pt idx="5">
                  <c:v>2016-12</c:v>
                </c:pt>
                <c:pt idx="6">
                  <c:v>Q4-16</c:v>
                </c:pt>
                <c:pt idx="7">
                  <c:v>2017-1</c:v>
                </c:pt>
                <c:pt idx="8">
                  <c:v>2017-2</c:v>
                </c:pt>
                <c:pt idx="9">
                  <c:v>2017-3</c:v>
                </c:pt>
                <c:pt idx="10">
                  <c:v>2017-4</c:v>
                </c:pt>
                <c:pt idx="11">
                  <c:v>2017-5</c:v>
                </c:pt>
                <c:pt idx="12">
                  <c:v>2017-6</c:v>
                </c:pt>
                <c:pt idx="13">
                  <c:v>2017-7</c:v>
                </c:pt>
                <c:pt idx="14">
                  <c:v>2017-8</c:v>
                </c:pt>
                <c:pt idx="15">
                  <c:v>2017-9</c:v>
                </c:pt>
                <c:pt idx="16">
                  <c:v>2017-10</c:v>
                </c:pt>
                <c:pt idx="17">
                  <c:v>2017-11</c:v>
                </c:pt>
                <c:pt idx="18">
                  <c:v>2017-12</c:v>
                </c:pt>
                <c:pt idx="19">
                  <c:v>2017-13</c:v>
                </c:pt>
                <c:pt idx="20">
                  <c:v>2017-14</c:v>
                </c:pt>
                <c:pt idx="21">
                  <c:v>2017-15</c:v>
                </c:pt>
                <c:pt idx="22">
                  <c:v>2017-16</c:v>
                </c:pt>
                <c:pt idx="23">
                  <c:v>2017-17</c:v>
                </c:pt>
                <c:pt idx="24">
                  <c:v>2017-18</c:v>
                </c:pt>
                <c:pt idx="25">
                  <c:v>2017-19</c:v>
                </c:pt>
                <c:pt idx="26">
                  <c:v>2017-20</c:v>
                </c:pt>
                <c:pt idx="27">
                  <c:v>2017-21</c:v>
                </c:pt>
                <c:pt idx="28">
                  <c:v>2017-22</c:v>
                </c:pt>
                <c:pt idx="29">
                  <c:v>2017-23</c:v>
                </c:pt>
                <c:pt idx="30">
                  <c:v>2017-24</c:v>
                </c:pt>
                <c:pt idx="31">
                  <c:v>2017-25</c:v>
                </c:pt>
                <c:pt idx="32">
                  <c:v>2017-26</c:v>
                </c:pt>
                <c:pt idx="33">
                  <c:v>2017-27</c:v>
                </c:pt>
                <c:pt idx="34">
                  <c:v>2017-28</c:v>
                </c:pt>
                <c:pt idx="35">
                  <c:v>2017-29</c:v>
                </c:pt>
                <c:pt idx="36">
                  <c:v>2017-30</c:v>
                </c:pt>
                <c:pt idx="37">
                  <c:v>2017-31</c:v>
                </c:pt>
                <c:pt idx="38">
                  <c:v>2017-32</c:v>
                </c:pt>
                <c:pt idx="39">
                  <c:v>2017-33</c:v>
                </c:pt>
                <c:pt idx="40">
                  <c:v>2017-34</c:v>
                </c:pt>
                <c:pt idx="41">
                  <c:v>2017-35</c:v>
                </c:pt>
              </c:strCache>
            </c:strRef>
          </c:cat>
          <c:val>
            <c:numRef>
              <c:f>'2017 Ameristar Prod Measure'!$B$15:$BD$15</c:f>
              <c:numCache>
                <c:formatCode>0.0%</c:formatCode>
                <c:ptCount val="55"/>
                <c:pt idx="0">
                  <c:v>0.60252454485554574</c:v>
                </c:pt>
                <c:pt idx="1">
                  <c:v>0.60252454485554574</c:v>
                </c:pt>
                <c:pt idx="2">
                  <c:v>0.60252454485554574</c:v>
                </c:pt>
                <c:pt idx="3">
                  <c:v>0.60252454485554574</c:v>
                </c:pt>
                <c:pt idx="4">
                  <c:v>0.60252454485554574</c:v>
                </c:pt>
                <c:pt idx="5">
                  <c:v>0.60252454485554574</c:v>
                </c:pt>
                <c:pt idx="6">
                  <c:v>0.60252454485554574</c:v>
                </c:pt>
                <c:pt idx="7">
                  <c:v>0.60252454485554574</c:v>
                </c:pt>
                <c:pt idx="8">
                  <c:v>0.60252454485554574</c:v>
                </c:pt>
                <c:pt idx="9">
                  <c:v>0.60252454485554574</c:v>
                </c:pt>
                <c:pt idx="10">
                  <c:v>0.60252454485554574</c:v>
                </c:pt>
                <c:pt idx="11">
                  <c:v>0.60252454485554574</c:v>
                </c:pt>
                <c:pt idx="12">
                  <c:v>0.60252454485554574</c:v>
                </c:pt>
                <c:pt idx="13">
                  <c:v>0.60252454485554574</c:v>
                </c:pt>
                <c:pt idx="14">
                  <c:v>0.60252454485554574</c:v>
                </c:pt>
                <c:pt idx="15">
                  <c:v>0.60252454485554574</c:v>
                </c:pt>
                <c:pt idx="16">
                  <c:v>0.60252454485554574</c:v>
                </c:pt>
                <c:pt idx="17">
                  <c:v>0.60252454485554574</c:v>
                </c:pt>
                <c:pt idx="18">
                  <c:v>0.60252454485554574</c:v>
                </c:pt>
                <c:pt idx="19">
                  <c:v>0.60252454485554574</c:v>
                </c:pt>
                <c:pt idx="20">
                  <c:v>0.60252454485554574</c:v>
                </c:pt>
                <c:pt idx="21">
                  <c:v>0.60252454485554574</c:v>
                </c:pt>
                <c:pt idx="22">
                  <c:v>0.60252454485554574</c:v>
                </c:pt>
                <c:pt idx="23">
                  <c:v>0.60252454485554574</c:v>
                </c:pt>
                <c:pt idx="24">
                  <c:v>0.60252454485554574</c:v>
                </c:pt>
                <c:pt idx="25">
                  <c:v>0.60252454485554574</c:v>
                </c:pt>
                <c:pt idx="26">
                  <c:v>0.60252454485554574</c:v>
                </c:pt>
                <c:pt idx="27">
                  <c:v>0.60252454485554574</c:v>
                </c:pt>
                <c:pt idx="28">
                  <c:v>0.60252454485554574</c:v>
                </c:pt>
                <c:pt idx="29">
                  <c:v>0.60252454485554574</c:v>
                </c:pt>
                <c:pt idx="30">
                  <c:v>0.60252454485554574</c:v>
                </c:pt>
                <c:pt idx="31">
                  <c:v>0.60252454485554574</c:v>
                </c:pt>
                <c:pt idx="32">
                  <c:v>0.60252454485554574</c:v>
                </c:pt>
                <c:pt idx="33">
                  <c:v>0.60252454485554574</c:v>
                </c:pt>
                <c:pt idx="34">
                  <c:v>0.60252454485554574</c:v>
                </c:pt>
                <c:pt idx="35">
                  <c:v>0.60252454485554574</c:v>
                </c:pt>
                <c:pt idx="36">
                  <c:v>0.60252454485554574</c:v>
                </c:pt>
                <c:pt idx="37">
                  <c:v>0.60252454485554574</c:v>
                </c:pt>
                <c:pt idx="38">
                  <c:v>0.60252454485554574</c:v>
                </c:pt>
                <c:pt idx="39">
                  <c:v>0.60252454485554574</c:v>
                </c:pt>
                <c:pt idx="40">
                  <c:v>0.60252454485554574</c:v>
                </c:pt>
                <c:pt idx="41">
                  <c:v>0.60252454485554574</c:v>
                </c:pt>
                <c:pt idx="42">
                  <c:v>0.60252454485554574</c:v>
                </c:pt>
                <c:pt idx="43">
                  <c:v>0.60252454485554574</c:v>
                </c:pt>
                <c:pt idx="44">
                  <c:v>0.60252454485554574</c:v>
                </c:pt>
                <c:pt idx="45">
                  <c:v>0.60252454485554574</c:v>
                </c:pt>
                <c:pt idx="46">
                  <c:v>0.60252454485554574</c:v>
                </c:pt>
                <c:pt idx="47">
                  <c:v>0.60252454485554574</c:v>
                </c:pt>
                <c:pt idx="48">
                  <c:v>0.60252454485554574</c:v>
                </c:pt>
                <c:pt idx="49">
                  <c:v>0.60252454485554574</c:v>
                </c:pt>
                <c:pt idx="50">
                  <c:v>0.60252454485554574</c:v>
                </c:pt>
                <c:pt idx="51">
                  <c:v>0.60252454485554574</c:v>
                </c:pt>
                <c:pt idx="52">
                  <c:v>0.60252454485554574</c:v>
                </c:pt>
                <c:pt idx="53">
                  <c:v>0.60252454485554574</c:v>
                </c:pt>
                <c:pt idx="54">
                  <c:v>0.60252454485554574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95-4F11-A9D9-1A77ECCB2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316992"/>
        <c:axId val="181322880"/>
      </c:lineChart>
      <c:lineChart>
        <c:grouping val="standard"/>
        <c:varyColors val="0"/>
        <c:ser>
          <c:idx val="1"/>
          <c:order val="1"/>
          <c:tx>
            <c:strRef>
              <c:f>'2017 Ameristar Prod Measure'!$A$14</c:f>
              <c:strCache>
                <c:ptCount val="1"/>
                <c:pt idx="0">
                  <c:v>YTD % improvement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95-4F11-A9D9-1A77ECCB298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95-4F11-A9D9-1A77ECCB298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95-4F11-A9D9-1A77ECCB298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895-4F11-A9D9-1A77ECCB298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95-4F11-A9D9-1A77ECCB298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95-4F11-A9D9-1A77ECCB298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95-4F11-A9D9-1A77ECCB298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895-4F11-A9D9-1A77ECCB298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95-4F11-A9D9-1A77ECCB298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95-4F11-A9D9-1A77ECCB298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95-4F11-A9D9-1A77ECCB298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895-4F11-A9D9-1A77ECCB298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895-4F11-A9D9-1A77ECCB298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895-4F11-A9D9-1A77ECCB298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895-4F11-A9D9-1A77ECCB298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895-4F11-A9D9-1A77ECCB298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895-4F11-A9D9-1A77ECCB298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895-4F11-A9D9-1A77ECCB298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895-4F11-A9D9-1A77ECCB298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895-4F11-A9D9-1A77ECCB298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895-4F11-A9D9-1A77ECCB298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895-4F11-A9D9-1A77ECCB298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895-4F11-A9D9-1A77ECCB298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0895-4F11-A9D9-1A77ECCB298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895-4F11-A9D9-1A77ECCB298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0895-4F11-A9D9-1A77ECCB2985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0895-4F11-A9D9-1A77ECCB2985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0895-4F11-A9D9-1A77ECCB298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0895-4F11-A9D9-1A77ECCB298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0895-4F11-A9D9-1A77ECCB298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0895-4F11-A9D9-1A77ECCB2985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0895-4F11-A9D9-1A77ECCB2985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0895-4F11-A9D9-1A77ECCB2985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0895-4F11-A9D9-1A77ECCB2985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0895-4F11-A9D9-1A77ECCB2985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0895-4F11-A9D9-1A77ECCB2985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0895-4F11-A9D9-1A77ECCB2985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0895-4F11-A9D9-1A77ECCB2985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0895-4F11-A9D9-1A77ECCB2985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0895-4F11-A9D9-1A77ECCB2985}"/>
                </c:ext>
              </c:extLst>
            </c:dLbl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0895-4F11-A9D9-1A77ECCB2985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0895-4F11-A9D9-1A77ECCB2985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0895-4F11-A9D9-1A77ECCB2985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0895-4F11-A9D9-1A77ECCB2985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0895-4F11-A9D9-1A77ECCB2985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0895-4F11-A9D9-1A77ECCB2985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0895-4F11-A9D9-1A77ECCB2985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0895-4F11-A9D9-1A77ECCB2985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0895-4F11-A9D9-1A77ECCB2985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0895-4F11-A9D9-1A77ECCB2985}"/>
                </c:ext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0895-4F11-A9D9-1A77ECCB2985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0895-4F11-A9D9-1A77ECCB2985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0895-4F11-A9D9-1A77ECCB2985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0895-4F11-A9D9-1A77ECCB2985}"/>
                </c:ext>
              </c:extLst>
            </c:dLbl>
            <c:dLbl>
              <c:idx val="54"/>
              <c:layout>
                <c:manualLayout>
                  <c:x val="1.1403084878560527E-2"/>
                  <c:y val="-2.60283382834376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b="1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731762081118152E-2"/>
                      <c:h val="4.3076993017064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38-0895-4F11-A9D9-1A77ECCB298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'2017 Ameristar Prod Measure'!$B$3:$BD$3</c:f>
              <c:strCache>
                <c:ptCount val="55"/>
                <c:pt idx="0">
                  <c:v>Q1-16</c:v>
                </c:pt>
                <c:pt idx="1">
                  <c:v>Q2-16</c:v>
                </c:pt>
                <c:pt idx="2">
                  <c:v>Q3-16</c:v>
                </c:pt>
                <c:pt idx="3">
                  <c:v>2016-10</c:v>
                </c:pt>
                <c:pt idx="4">
                  <c:v>2016-11</c:v>
                </c:pt>
                <c:pt idx="5">
                  <c:v>2016-12</c:v>
                </c:pt>
                <c:pt idx="6">
                  <c:v>Q4-16</c:v>
                </c:pt>
                <c:pt idx="7">
                  <c:v>2017-1</c:v>
                </c:pt>
                <c:pt idx="8">
                  <c:v>2017-2</c:v>
                </c:pt>
                <c:pt idx="9">
                  <c:v>2017-3</c:v>
                </c:pt>
                <c:pt idx="10">
                  <c:v>2017-4</c:v>
                </c:pt>
                <c:pt idx="11">
                  <c:v>2017-5</c:v>
                </c:pt>
                <c:pt idx="12">
                  <c:v>2017-6</c:v>
                </c:pt>
                <c:pt idx="13">
                  <c:v>2017-7</c:v>
                </c:pt>
                <c:pt idx="14">
                  <c:v>2017-8</c:v>
                </c:pt>
                <c:pt idx="15">
                  <c:v>2017-9</c:v>
                </c:pt>
                <c:pt idx="16">
                  <c:v>2017-10</c:v>
                </c:pt>
                <c:pt idx="17">
                  <c:v>2017-11</c:v>
                </c:pt>
                <c:pt idx="18">
                  <c:v>2017-12</c:v>
                </c:pt>
                <c:pt idx="19">
                  <c:v>2017-13</c:v>
                </c:pt>
                <c:pt idx="20">
                  <c:v>2017-14</c:v>
                </c:pt>
                <c:pt idx="21">
                  <c:v>2017-15</c:v>
                </c:pt>
                <c:pt idx="22">
                  <c:v>2017-16</c:v>
                </c:pt>
                <c:pt idx="23">
                  <c:v>2017-17</c:v>
                </c:pt>
                <c:pt idx="24">
                  <c:v>2017-18</c:v>
                </c:pt>
                <c:pt idx="25">
                  <c:v>2017-19</c:v>
                </c:pt>
                <c:pt idx="26">
                  <c:v>2017-20</c:v>
                </c:pt>
                <c:pt idx="27">
                  <c:v>2017-21</c:v>
                </c:pt>
                <c:pt idx="28">
                  <c:v>2017-22</c:v>
                </c:pt>
                <c:pt idx="29">
                  <c:v>2017-23</c:v>
                </c:pt>
                <c:pt idx="30">
                  <c:v>2017-24</c:v>
                </c:pt>
                <c:pt idx="31">
                  <c:v>2017-25</c:v>
                </c:pt>
                <c:pt idx="32">
                  <c:v>2017-26</c:v>
                </c:pt>
                <c:pt idx="33">
                  <c:v>2017-27</c:v>
                </c:pt>
                <c:pt idx="34">
                  <c:v>2017-28</c:v>
                </c:pt>
                <c:pt idx="35">
                  <c:v>2017-29</c:v>
                </c:pt>
                <c:pt idx="36">
                  <c:v>2017-30</c:v>
                </c:pt>
                <c:pt idx="37">
                  <c:v>2017-31</c:v>
                </c:pt>
                <c:pt idx="38">
                  <c:v>2017-32</c:v>
                </c:pt>
                <c:pt idx="39">
                  <c:v>2017-33</c:v>
                </c:pt>
                <c:pt idx="40">
                  <c:v>2017-34</c:v>
                </c:pt>
                <c:pt idx="41">
                  <c:v>2017-35</c:v>
                </c:pt>
                <c:pt idx="42">
                  <c:v>2017-36</c:v>
                </c:pt>
                <c:pt idx="43">
                  <c:v>2017-37</c:v>
                </c:pt>
                <c:pt idx="44">
                  <c:v>2017-38</c:v>
                </c:pt>
                <c:pt idx="45">
                  <c:v>2017-39</c:v>
                </c:pt>
                <c:pt idx="46">
                  <c:v>2017-40</c:v>
                </c:pt>
                <c:pt idx="47">
                  <c:v>2017-41</c:v>
                </c:pt>
                <c:pt idx="48">
                  <c:v>2017-42</c:v>
                </c:pt>
                <c:pt idx="49">
                  <c:v>2017-43</c:v>
                </c:pt>
                <c:pt idx="50">
                  <c:v>2017-44</c:v>
                </c:pt>
                <c:pt idx="51">
                  <c:v>2017-45</c:v>
                </c:pt>
                <c:pt idx="52">
                  <c:v>2017-46</c:v>
                </c:pt>
                <c:pt idx="53">
                  <c:v>2017-47</c:v>
                </c:pt>
                <c:pt idx="54">
                  <c:v>2017-48</c:v>
                </c:pt>
              </c:strCache>
            </c:strRef>
          </c:cat>
          <c:val>
            <c:numRef>
              <c:f>'2017 Ameristar Prod Measure'!$B$14:$BD$14</c:f>
              <c:numCache>
                <c:formatCode>0.0%</c:formatCode>
                <c:ptCount val="55"/>
                <c:pt idx="0">
                  <c:v>-1.3483436119529402E-2</c:v>
                </c:pt>
                <c:pt idx="1">
                  <c:v>2.2039282763437917E-2</c:v>
                </c:pt>
                <c:pt idx="2">
                  <c:v>1.3608055033045297E-2</c:v>
                </c:pt>
                <c:pt idx="3">
                  <c:v>1.6470411008024932E-3</c:v>
                </c:pt>
                <c:pt idx="4">
                  <c:v>4.4090186076712889E-3</c:v>
                </c:pt>
                <c:pt idx="5">
                  <c:v>1.0581118092383601E-2</c:v>
                </c:pt>
                <c:pt idx="6">
                  <c:v>1.0581118092383601E-2</c:v>
                </c:pt>
                <c:pt idx="7">
                  <c:v>-0.15246631224276719</c:v>
                </c:pt>
                <c:pt idx="8">
                  <c:v>-3.3398172987740393E-2</c:v>
                </c:pt>
                <c:pt idx="9">
                  <c:v>-1.5527166309756257E-2</c:v>
                </c:pt>
                <c:pt idx="10">
                  <c:v>1.6619664429302627E-3</c:v>
                </c:pt>
                <c:pt idx="11">
                  <c:v>-4.8991691246754732E-3</c:v>
                </c:pt>
                <c:pt idx="12">
                  <c:v>1.334828244641284E-2</c:v>
                </c:pt>
                <c:pt idx="13">
                  <c:v>2.1516061036800815E-2</c:v>
                </c:pt>
                <c:pt idx="14">
                  <c:v>2.955377204228582E-2</c:v>
                </c:pt>
                <c:pt idx="15">
                  <c:v>2.9800782412511717E-2</c:v>
                </c:pt>
                <c:pt idx="16">
                  <c:v>2.5677144856077527E-2</c:v>
                </c:pt>
                <c:pt idx="17">
                  <c:v>2.2844246090046871E-2</c:v>
                </c:pt>
                <c:pt idx="18">
                  <c:v>2.1508041243499365E-2</c:v>
                </c:pt>
                <c:pt idx="19">
                  <c:v>1.9801442119464552E-2</c:v>
                </c:pt>
                <c:pt idx="20">
                  <c:v>2.0466513956846955E-2</c:v>
                </c:pt>
                <c:pt idx="21">
                  <c:v>2.2546201538198973E-2</c:v>
                </c:pt>
                <c:pt idx="22">
                  <c:v>2.0201838920012927E-2</c:v>
                </c:pt>
                <c:pt idx="23">
                  <c:v>1.9212200905685428E-2</c:v>
                </c:pt>
                <c:pt idx="24">
                  <c:v>2.035187832841534E-2</c:v>
                </c:pt>
                <c:pt idx="25">
                  <c:v>2.291220237088365E-2</c:v>
                </c:pt>
                <c:pt idx="26">
                  <c:v>3.0608752224523972E-2</c:v>
                </c:pt>
                <c:pt idx="27">
                  <c:v>3.0521914911443515E-2</c:v>
                </c:pt>
                <c:pt idx="28">
                  <c:v>3.1985040860380343E-2</c:v>
                </c:pt>
                <c:pt idx="29">
                  <c:v>3.1379144252286828E-2</c:v>
                </c:pt>
                <c:pt idx="30">
                  <c:v>3.7347885120149416E-2</c:v>
                </c:pt>
                <c:pt idx="31">
                  <c:v>3.6041676155325941E-2</c:v>
                </c:pt>
                <c:pt idx="32">
                  <c:v>3.6823842012275509E-2</c:v>
                </c:pt>
                <c:pt idx="33">
                  <c:v>3.5291749321415544E-2</c:v>
                </c:pt>
                <c:pt idx="34">
                  <c:v>3.6785333751665927E-2</c:v>
                </c:pt>
                <c:pt idx="35">
                  <c:v>3.5901201038588404E-2</c:v>
                </c:pt>
                <c:pt idx="36">
                  <c:v>3.8435550507176286E-2</c:v>
                </c:pt>
                <c:pt idx="37">
                  <c:v>3.6841426027637292E-2</c:v>
                </c:pt>
                <c:pt idx="38">
                  <c:v>4.1788305907177525E-2</c:v>
                </c:pt>
                <c:pt idx="39">
                  <c:v>4.1600127107987106E-2</c:v>
                </c:pt>
                <c:pt idx="40">
                  <c:v>4.1024064209940869E-2</c:v>
                </c:pt>
                <c:pt idx="41">
                  <c:v>4.205823950306864E-2</c:v>
                </c:pt>
                <c:pt idx="42">
                  <c:v>4.0831006504312484E-2</c:v>
                </c:pt>
                <c:pt idx="43">
                  <c:v>3.8455897684683826E-2</c:v>
                </c:pt>
                <c:pt idx="44">
                  <c:v>3.7239272435559911E-2</c:v>
                </c:pt>
                <c:pt idx="45">
                  <c:v>3.7841803500469062E-2</c:v>
                </c:pt>
                <c:pt idx="46">
                  <c:v>3.2619739389982527E-2</c:v>
                </c:pt>
                <c:pt idx="47">
                  <c:v>3.0150328433350637E-2</c:v>
                </c:pt>
                <c:pt idx="48">
                  <c:v>2.8879101957028475E-2</c:v>
                </c:pt>
                <c:pt idx="49">
                  <c:v>3.1792123724869947E-2</c:v>
                </c:pt>
                <c:pt idx="50">
                  <c:v>3.3038339419858342E-2</c:v>
                </c:pt>
                <c:pt idx="51">
                  <c:v>2.9937285518240042E-2</c:v>
                </c:pt>
                <c:pt idx="52">
                  <c:v>3.0342387544893379E-2</c:v>
                </c:pt>
                <c:pt idx="53">
                  <c:v>3.4530173415224352E-2</c:v>
                </c:pt>
                <c:pt idx="54">
                  <c:v>3.5651325559679536E-2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895-4F11-A9D9-1A77ECCB2985}"/>
            </c:ext>
          </c:extLst>
        </c:ser>
        <c:ser>
          <c:idx val="3"/>
          <c:order val="3"/>
          <c:tx>
            <c:strRef>
              <c:f>'2017 Ameristar Prod Measure'!$A$16</c:f>
              <c:strCache>
                <c:ptCount val="1"/>
                <c:pt idx="0">
                  <c:v>% improvement from Base Line</c:v>
                </c:pt>
              </c:strCache>
            </c:strRef>
          </c:tx>
          <c:spPr>
            <a:ln w="34925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strRef>
              <c:f>'2017 Ameristar Prod Measure'!$B$3:$BD$3</c:f>
              <c:strCache>
                <c:ptCount val="55"/>
                <c:pt idx="0">
                  <c:v>Q1-16</c:v>
                </c:pt>
                <c:pt idx="1">
                  <c:v>Q2-16</c:v>
                </c:pt>
                <c:pt idx="2">
                  <c:v>Q3-16</c:v>
                </c:pt>
                <c:pt idx="3">
                  <c:v>2016-10</c:v>
                </c:pt>
                <c:pt idx="4">
                  <c:v>2016-11</c:v>
                </c:pt>
                <c:pt idx="5">
                  <c:v>2016-12</c:v>
                </c:pt>
                <c:pt idx="6">
                  <c:v>Q4-16</c:v>
                </c:pt>
                <c:pt idx="7">
                  <c:v>2017-1</c:v>
                </c:pt>
                <c:pt idx="8">
                  <c:v>2017-2</c:v>
                </c:pt>
                <c:pt idx="9">
                  <c:v>2017-3</c:v>
                </c:pt>
                <c:pt idx="10">
                  <c:v>2017-4</c:v>
                </c:pt>
                <c:pt idx="11">
                  <c:v>2017-5</c:v>
                </c:pt>
                <c:pt idx="12">
                  <c:v>2017-6</c:v>
                </c:pt>
                <c:pt idx="13">
                  <c:v>2017-7</c:v>
                </c:pt>
                <c:pt idx="14">
                  <c:v>2017-8</c:v>
                </c:pt>
                <c:pt idx="15">
                  <c:v>2017-9</c:v>
                </c:pt>
                <c:pt idx="16">
                  <c:v>2017-10</c:v>
                </c:pt>
                <c:pt idx="17">
                  <c:v>2017-11</c:v>
                </c:pt>
                <c:pt idx="18">
                  <c:v>2017-12</c:v>
                </c:pt>
                <c:pt idx="19">
                  <c:v>2017-13</c:v>
                </c:pt>
                <c:pt idx="20">
                  <c:v>2017-14</c:v>
                </c:pt>
                <c:pt idx="21">
                  <c:v>2017-15</c:v>
                </c:pt>
                <c:pt idx="22">
                  <c:v>2017-16</c:v>
                </c:pt>
                <c:pt idx="23">
                  <c:v>2017-17</c:v>
                </c:pt>
                <c:pt idx="24">
                  <c:v>2017-18</c:v>
                </c:pt>
                <c:pt idx="25">
                  <c:v>2017-19</c:v>
                </c:pt>
                <c:pt idx="26">
                  <c:v>2017-20</c:v>
                </c:pt>
                <c:pt idx="27">
                  <c:v>2017-21</c:v>
                </c:pt>
                <c:pt idx="28">
                  <c:v>2017-22</c:v>
                </c:pt>
                <c:pt idx="29">
                  <c:v>2017-23</c:v>
                </c:pt>
                <c:pt idx="30">
                  <c:v>2017-24</c:v>
                </c:pt>
                <c:pt idx="31">
                  <c:v>2017-25</c:v>
                </c:pt>
                <c:pt idx="32">
                  <c:v>2017-26</c:v>
                </c:pt>
                <c:pt idx="33">
                  <c:v>2017-27</c:v>
                </c:pt>
                <c:pt idx="34">
                  <c:v>2017-28</c:v>
                </c:pt>
                <c:pt idx="35">
                  <c:v>2017-29</c:v>
                </c:pt>
                <c:pt idx="36">
                  <c:v>2017-30</c:v>
                </c:pt>
                <c:pt idx="37">
                  <c:v>2017-31</c:v>
                </c:pt>
                <c:pt idx="38">
                  <c:v>2017-32</c:v>
                </c:pt>
                <c:pt idx="39">
                  <c:v>2017-33</c:v>
                </c:pt>
                <c:pt idx="40">
                  <c:v>2017-34</c:v>
                </c:pt>
                <c:pt idx="41">
                  <c:v>2017-35</c:v>
                </c:pt>
                <c:pt idx="42">
                  <c:v>2017-36</c:v>
                </c:pt>
                <c:pt idx="43">
                  <c:v>2017-37</c:v>
                </c:pt>
                <c:pt idx="44">
                  <c:v>2017-38</c:v>
                </c:pt>
                <c:pt idx="45">
                  <c:v>2017-39</c:v>
                </c:pt>
                <c:pt idx="46">
                  <c:v>2017-40</c:v>
                </c:pt>
                <c:pt idx="47">
                  <c:v>2017-41</c:v>
                </c:pt>
                <c:pt idx="48">
                  <c:v>2017-42</c:v>
                </c:pt>
                <c:pt idx="49">
                  <c:v>2017-43</c:v>
                </c:pt>
                <c:pt idx="50">
                  <c:v>2017-44</c:v>
                </c:pt>
                <c:pt idx="51">
                  <c:v>2017-45</c:v>
                </c:pt>
                <c:pt idx="52">
                  <c:v>2017-46</c:v>
                </c:pt>
                <c:pt idx="53">
                  <c:v>2017-47</c:v>
                </c:pt>
                <c:pt idx="54">
                  <c:v>2017-48</c:v>
                </c:pt>
              </c:strCache>
            </c:strRef>
          </c:cat>
          <c:val>
            <c:numRef>
              <c:f>'2017 Ameristar Prod Measure'!$B$16:$BD$16</c:f>
              <c:numCache>
                <c:formatCode>0.0%</c:formatCode>
                <c:ptCount val="55"/>
                <c:pt idx="0">
                  <c:v>-1.3483436119529402E-2</c:v>
                </c:pt>
                <c:pt idx="1">
                  <c:v>5.195436921379093E-2</c:v>
                </c:pt>
                <c:pt idx="2">
                  <c:v>-1.1539784899746719E-3</c:v>
                </c:pt>
                <c:pt idx="3">
                  <c:v>-0.11890300961343681</c:v>
                </c:pt>
                <c:pt idx="4">
                  <c:v>3.5491169972874603E-2</c:v>
                </c:pt>
                <c:pt idx="5">
                  <c:v>9.3656513842337086E-2</c:v>
                </c:pt>
                <c:pt idx="6">
                  <c:v>0</c:v>
                </c:pt>
                <c:pt idx="7">
                  <c:v>-0.15246631224276719</c:v>
                </c:pt>
                <c:pt idx="8">
                  <c:v>4.3485866379312066E-2</c:v>
                </c:pt>
                <c:pt idx="9">
                  <c:v>1.2895118073631417E-2</c:v>
                </c:pt>
                <c:pt idx="10">
                  <c:v>3.4964783594097382E-2</c:v>
                </c:pt>
                <c:pt idx="11">
                  <c:v>-4.1295835581016016E-2</c:v>
                </c:pt>
                <c:pt idx="12">
                  <c:v>9.4457430772121764E-2</c:v>
                </c:pt>
                <c:pt idx="13">
                  <c:v>6.3469048984093002E-2</c:v>
                </c:pt>
                <c:pt idx="14">
                  <c:v>6.5289033687889741E-2</c:v>
                </c:pt>
                <c:pt idx="15">
                  <c:v>3.2793338026217089E-2</c:v>
                </c:pt>
                <c:pt idx="16">
                  <c:v>-7.5015094869755883E-3</c:v>
                </c:pt>
                <c:pt idx="17">
                  <c:v>-3.4766125136032056E-3</c:v>
                </c:pt>
                <c:pt idx="18">
                  <c:v>1.4584996152638752E-2</c:v>
                </c:pt>
                <c:pt idx="19">
                  <c:v>-1.7261842371962821E-4</c:v>
                </c:pt>
                <c:pt idx="20">
                  <c:v>3.0187440754383399E-2</c:v>
                </c:pt>
                <c:pt idx="21">
                  <c:v>5.5834211857472393E-2</c:v>
                </c:pt>
                <c:pt idx="22">
                  <c:v>-1.943800232360815E-2</c:v>
                </c:pt>
                <c:pt idx="23">
                  <c:v>5.892005600405259E-4</c:v>
                </c:pt>
                <c:pt idx="24">
                  <c:v>4.3248892231570579E-2</c:v>
                </c:pt>
                <c:pt idx="25">
                  <c:v>7.8692084379126559E-2</c:v>
                </c:pt>
                <c:pt idx="26">
                  <c:v>0.16479205732153002</c:v>
                </c:pt>
                <c:pt idx="27">
                  <c:v>2.8930454545913475E-2</c:v>
                </c:pt>
                <c:pt idx="28">
                  <c:v>7.1298436717521119E-2</c:v>
                </c:pt>
                <c:pt idx="29">
                  <c:v>1.5285231714741165E-2</c:v>
                </c:pt>
                <c:pt idx="30">
                  <c:v>0.20862611544155274</c:v>
                </c:pt>
                <c:pt idx="31">
                  <c:v>-1.7615197175708031E-2</c:v>
                </c:pt>
                <c:pt idx="32">
                  <c:v>5.8554178000302715E-2</c:v>
                </c:pt>
                <c:pt idx="33">
                  <c:v>-7.8101884740487959E-3</c:v>
                </c:pt>
                <c:pt idx="34">
                  <c:v>7.2192177393620049E-2</c:v>
                </c:pt>
                <c:pt idx="35">
                  <c:v>5.9311832992436919E-3</c:v>
                </c:pt>
                <c:pt idx="36">
                  <c:v>0.10893577175839808</c:v>
                </c:pt>
                <c:pt idx="37">
                  <c:v>-7.0511159362129927E-3</c:v>
                </c:pt>
                <c:pt idx="38">
                  <c:v>0.12241919876972851</c:v>
                </c:pt>
                <c:pt idx="39">
                  <c:v>3.5185341704116135E-2</c:v>
                </c:pt>
                <c:pt idx="40">
                  <c:v>2.2333250500949031E-2</c:v>
                </c:pt>
                <c:pt idx="41">
                  <c:v>7.89349169238589E-2</c:v>
                </c:pt>
                <c:pt idx="42">
                  <c:v>-5.2255710943382994E-3</c:v>
                </c:pt>
                <c:pt idx="43">
                  <c:v>-5.7625319139292364E-2</c:v>
                </c:pt>
                <c:pt idx="44">
                  <c:v>-1.1676336707445722E-2</c:v>
                </c:pt>
                <c:pt idx="45">
                  <c:v>6.2059717335595677E-2</c:v>
                </c:pt>
                <c:pt idx="46">
                  <c:v>-0.17117298688214433</c:v>
                </c:pt>
                <c:pt idx="47">
                  <c:v>-4.3436772781338506E-2</c:v>
                </c:pt>
                <c:pt idx="48">
                  <c:v>-2.6141779551482558E-2</c:v>
                </c:pt>
                <c:pt idx="49">
                  <c:v>0.27763341172519529</c:v>
                </c:pt>
                <c:pt idx="50">
                  <c:v>0.10708340003067818</c:v>
                </c:pt>
                <c:pt idx="51">
                  <c:v>-9.1334261422368224E-2</c:v>
                </c:pt>
                <c:pt idx="52">
                  <c:v>4.9711981544336092E-2</c:v>
                </c:pt>
                <c:pt idx="53">
                  <c:v>0.31928330646617153</c:v>
                </c:pt>
                <c:pt idx="54">
                  <c:v>0.11813450949883419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0895-4F11-A9D9-1A77ECCB2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326976"/>
        <c:axId val="181324800"/>
      </c:lineChart>
      <c:catAx>
        <c:axId val="18131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22880"/>
        <c:crosses val="autoZero"/>
        <c:auto val="1"/>
        <c:lblAlgn val="ctr"/>
        <c:lblOffset val="100"/>
        <c:noMultiLvlLbl val="0"/>
      </c:catAx>
      <c:valAx>
        <c:axId val="18132288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Standard Labor Hours/ Acutal Hours + OT Priemum</a:t>
                </a:r>
              </a:p>
            </c:rich>
          </c:tx>
          <c:layout>
            <c:manualLayout>
              <c:xMode val="edge"/>
              <c:yMode val="edge"/>
              <c:x val="2.5430390624797978E-2"/>
              <c:y val="0.171671863807738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16992"/>
        <c:crosses val="autoZero"/>
        <c:crossBetween val="between"/>
      </c:valAx>
      <c:valAx>
        <c:axId val="181324800"/>
        <c:scaling>
          <c:orientation val="minMax"/>
          <c:max val="0.4"/>
          <c:min val="-0.4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26976"/>
        <c:crosses val="max"/>
        <c:crossBetween val="between"/>
        <c:majorUnit val="0.1"/>
      </c:valAx>
      <c:catAx>
        <c:axId val="181326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132480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25" l="0.2" r="0.2" t="0.25" header="0.30000000000000032" footer="0.30000000000000032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Ameristar Monthly Productivity Measure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008456024340915"/>
          <c:y val="9.6915444580347898E-2"/>
          <c:w val="0.7930445871384606"/>
          <c:h val="0.71851758496999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'2017 Ameristar Prod Measure'!$A$19</c:f>
              <c:strCache>
                <c:ptCount val="1"/>
                <c:pt idx="0">
                  <c:v>Monthly-Actual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'2017 Ameristar Prod Measure'!$B$18:$T$18</c15:sqref>
                  </c15:fullRef>
                </c:ext>
              </c:extLst>
              <c:f>('2017 Ameristar Prod Measure'!$B$18:$G$18,'2017 Ameristar Prod Measure'!$I$18:$T$18)</c:f>
              <c:strCache>
                <c:ptCount val="18"/>
                <c:pt idx="0">
                  <c:v>Q1-16</c:v>
                </c:pt>
                <c:pt idx="1">
                  <c:v>Q2-16</c:v>
                </c:pt>
                <c:pt idx="2">
                  <c:v>Q3-16</c:v>
                </c:pt>
                <c:pt idx="3">
                  <c:v>Oct-16</c:v>
                </c:pt>
                <c:pt idx="4">
                  <c:v>Nov-16</c:v>
                </c:pt>
                <c:pt idx="5">
                  <c:v>Dec-16</c:v>
                </c:pt>
                <c:pt idx="6">
                  <c:v>Jan-17</c:v>
                </c:pt>
                <c:pt idx="7">
                  <c:v>Feb-17</c:v>
                </c:pt>
                <c:pt idx="8">
                  <c:v>Mar-17</c:v>
                </c:pt>
                <c:pt idx="9">
                  <c:v>Apr-17</c:v>
                </c:pt>
                <c:pt idx="10">
                  <c:v>May-17</c:v>
                </c:pt>
                <c:pt idx="11">
                  <c:v>Jun-17</c:v>
                </c:pt>
                <c:pt idx="12">
                  <c:v>Jul-17</c:v>
                </c:pt>
                <c:pt idx="13">
                  <c:v>Aug-17</c:v>
                </c:pt>
                <c:pt idx="14">
                  <c:v>Sep-17</c:v>
                </c:pt>
                <c:pt idx="15">
                  <c:v>Oct-17</c:v>
                </c:pt>
                <c:pt idx="16">
                  <c:v>Nov-17</c:v>
                </c:pt>
                <c:pt idx="17">
                  <c:v>Dec-17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'2017 Ameristar Prod Measure'!$B$19:$T$19</c15:sqref>
                  </c15:fullRef>
                </c:ext>
              </c:extLst>
              <c:f>('2017 Ameristar Prod Measure'!$B$19:$G$19,'2017 Ameristar Prod Measure'!$I$19:$T$19)</c:f>
              <c:numCache>
                <c:formatCode>0.0%</c:formatCode>
                <c:ptCount val="18"/>
                <c:pt idx="0">
                  <c:v>0.59440044364453748</c:v>
                </c:pt>
                <c:pt idx="1">
                  <c:v>0.63382832751934215</c:v>
                </c:pt>
                <c:pt idx="2">
                  <c:v>0.60182924449110065</c:v>
                </c:pt>
                <c:pt idx="3">
                  <c:v>0.53088256310625515</c:v>
                </c:pt>
                <c:pt idx="4">
                  <c:v>0.62390884588984286</c:v>
                </c:pt>
                <c:pt idx="5">
                  <c:v>0.65895489323115697</c:v>
                </c:pt>
                <c:pt idx="6">
                  <c:v>0.60352592043013753</c:v>
                </c:pt>
                <c:pt idx="7">
                  <c:v>0.63539303067877206</c:v>
                </c:pt>
                <c:pt idx="8">
                  <c:v>0.60751394877857268</c:v>
                </c:pt>
                <c:pt idx="9">
                  <c:v>0.61211649191616246</c:v>
                </c:pt>
                <c:pt idx="10">
                  <c:v>0.64913235843970107</c:v>
                </c:pt>
                <c:pt idx="11">
                  <c:v>0.64829098956554965</c:v>
                </c:pt>
                <c:pt idx="12">
                  <c:v>0.62235572934724603</c:v>
                </c:pt>
                <c:pt idx="13">
                  <c:v>0.64512208566238538</c:v>
                </c:pt>
                <c:pt idx="14">
                  <c:v>0.62231488432386983</c:v>
                </c:pt>
                <c:pt idx="15">
                  <c:v>0.57456811194926172</c:v>
                </c:pt>
                <c:pt idx="16">
                  <c:v>0.62529785989241404</c:v>
                </c:pt>
                <c:pt idx="17">
                  <c:v>0.64448933599176383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8F-42E0-82BB-7F0E3C800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439104"/>
        <c:axId val="181449088"/>
      </c:barChart>
      <c:lineChart>
        <c:grouping val="standard"/>
        <c:varyColors val="0"/>
        <c:ser>
          <c:idx val="2"/>
          <c:order val="2"/>
          <c:tx>
            <c:strRef>
              <c:f>'2017 Ameristar Prod Measure'!$A$21</c:f>
              <c:strCache>
                <c:ptCount val="1"/>
                <c:pt idx="0">
                  <c:v>Base 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'2017 Ameristar Prod Measure'!$B$18:$T$18</c15:sqref>
                  </c15:fullRef>
                </c:ext>
              </c:extLst>
              <c:f>('2017 Ameristar Prod Measure'!$B$18:$G$18,'2017 Ameristar Prod Measure'!$I$18:$T$18)</c:f>
              <c:strCache>
                <c:ptCount val="18"/>
                <c:pt idx="0">
                  <c:v>Q1-16</c:v>
                </c:pt>
                <c:pt idx="1">
                  <c:v>Q2-16</c:v>
                </c:pt>
                <c:pt idx="2">
                  <c:v>Q3-16</c:v>
                </c:pt>
                <c:pt idx="3">
                  <c:v>Oct-16</c:v>
                </c:pt>
                <c:pt idx="4">
                  <c:v>Nov-16</c:v>
                </c:pt>
                <c:pt idx="5">
                  <c:v>Dec-16</c:v>
                </c:pt>
                <c:pt idx="6">
                  <c:v>Jan-17</c:v>
                </c:pt>
                <c:pt idx="7">
                  <c:v>Feb-17</c:v>
                </c:pt>
                <c:pt idx="8">
                  <c:v>Mar-17</c:v>
                </c:pt>
                <c:pt idx="9">
                  <c:v>Apr-17</c:v>
                </c:pt>
                <c:pt idx="10">
                  <c:v>May-17</c:v>
                </c:pt>
                <c:pt idx="11">
                  <c:v>Jun-17</c:v>
                </c:pt>
                <c:pt idx="12">
                  <c:v>Jul-17</c:v>
                </c:pt>
                <c:pt idx="13">
                  <c:v>Aug-17</c:v>
                </c:pt>
                <c:pt idx="14">
                  <c:v>Sep-17</c:v>
                </c:pt>
                <c:pt idx="15">
                  <c:v>Oct-17</c:v>
                </c:pt>
                <c:pt idx="16">
                  <c:v>Nov-17</c:v>
                </c:pt>
                <c:pt idx="17">
                  <c:v>Dec-17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'2017 Ameristar Prod Measure'!$B$21:$T$21</c15:sqref>
                  </c15:fullRef>
                </c:ext>
              </c:extLst>
              <c:f>('2017 Ameristar Prod Measure'!$B$21:$G$21,'2017 Ameristar Prod Measure'!$I$21:$T$21)</c:f>
              <c:numCache>
                <c:formatCode>0.0%</c:formatCode>
                <c:ptCount val="18"/>
                <c:pt idx="0">
                  <c:v>0.60252454485554574</c:v>
                </c:pt>
                <c:pt idx="1">
                  <c:v>0.60252454485554574</c:v>
                </c:pt>
                <c:pt idx="2">
                  <c:v>0.60252454485554574</c:v>
                </c:pt>
                <c:pt idx="3">
                  <c:v>0.60252454485554574</c:v>
                </c:pt>
                <c:pt idx="4">
                  <c:v>0.60252454485554574</c:v>
                </c:pt>
                <c:pt idx="5">
                  <c:v>0.60252454485554574</c:v>
                </c:pt>
                <c:pt idx="6">
                  <c:v>0.60252454485554574</c:v>
                </c:pt>
                <c:pt idx="7">
                  <c:v>0.60252454485554574</c:v>
                </c:pt>
                <c:pt idx="8">
                  <c:v>0.60252454485554574</c:v>
                </c:pt>
                <c:pt idx="9">
                  <c:v>0.60252454485554574</c:v>
                </c:pt>
                <c:pt idx="10">
                  <c:v>0.60252454485554574</c:v>
                </c:pt>
                <c:pt idx="11">
                  <c:v>0.60252454485554574</c:v>
                </c:pt>
                <c:pt idx="12">
                  <c:v>0.60252454485554574</c:v>
                </c:pt>
                <c:pt idx="13">
                  <c:v>0.60252454485554574</c:v>
                </c:pt>
                <c:pt idx="14">
                  <c:v>0.60252454485554574</c:v>
                </c:pt>
                <c:pt idx="15">
                  <c:v>0.60252454485554574</c:v>
                </c:pt>
                <c:pt idx="16">
                  <c:v>0.60252454485554574</c:v>
                </c:pt>
                <c:pt idx="17">
                  <c:v>0.60252454485554574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8F-42E0-82BB-7F0E3C800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439104"/>
        <c:axId val="181449088"/>
      </c:lineChart>
      <c:lineChart>
        <c:grouping val="standard"/>
        <c:varyColors val="0"/>
        <c:ser>
          <c:idx val="1"/>
          <c:order val="1"/>
          <c:tx>
            <c:strRef>
              <c:f>'2017 Ameristar Prod Measure'!$A$20</c:f>
              <c:strCache>
                <c:ptCount val="1"/>
                <c:pt idx="0">
                  <c:v>YTD % improvement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8F-42E0-82BB-7F0E3C800A8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8F-42E0-82BB-7F0E3C800A8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8F-42E0-82BB-7F0E3C800A8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18F-42E0-82BB-7F0E3C800A8A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8F-42E0-82BB-7F0E3C800A8A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8F-42E0-82BB-7F0E3C800A8A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8F-42E0-82BB-7F0E3C800A8A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18F-42E0-82BB-7F0E3C800A8A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8F-42E0-82BB-7F0E3C800A8A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8F-42E0-82BB-7F0E3C800A8A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8F-42E0-82BB-7F0E3C800A8A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18F-42E0-82BB-7F0E3C800A8A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18F-42E0-82BB-7F0E3C800A8A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18F-42E0-82BB-7F0E3C800A8A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18F-42E0-82BB-7F0E3C800A8A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18F-42E0-82BB-7F0E3C800A8A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18F-42E0-82BB-7F0E3C800A8A}"/>
                </c:ext>
              </c:extLst>
            </c:dLbl>
            <c:dLbl>
              <c:idx val="17"/>
              <c:layout>
                <c:manualLayout>
                  <c:x val="1.3403969005520379E-2"/>
                  <c:y val="-2.33576642335766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b="1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18F-42E0-82BB-7F0E3C800A8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'2017 Ameristar Prod Measure'!$B$18:$T$18</c15:sqref>
                  </c15:fullRef>
                </c:ext>
              </c:extLst>
              <c:f>('2017 Ameristar Prod Measure'!$B$18:$G$18,'2017 Ameristar Prod Measure'!$I$18:$T$18)</c:f>
              <c:strCache>
                <c:ptCount val="18"/>
                <c:pt idx="0">
                  <c:v>Q1-16</c:v>
                </c:pt>
                <c:pt idx="1">
                  <c:v>Q2-16</c:v>
                </c:pt>
                <c:pt idx="2">
                  <c:v>Q3-16</c:v>
                </c:pt>
                <c:pt idx="3">
                  <c:v>Oct-16</c:v>
                </c:pt>
                <c:pt idx="4">
                  <c:v>Nov-16</c:v>
                </c:pt>
                <c:pt idx="5">
                  <c:v>Dec-16</c:v>
                </c:pt>
                <c:pt idx="6">
                  <c:v>Jan-17</c:v>
                </c:pt>
                <c:pt idx="7">
                  <c:v>Feb-17</c:v>
                </c:pt>
                <c:pt idx="8">
                  <c:v>Mar-17</c:v>
                </c:pt>
                <c:pt idx="9">
                  <c:v>Apr-17</c:v>
                </c:pt>
                <c:pt idx="10">
                  <c:v>May-17</c:v>
                </c:pt>
                <c:pt idx="11">
                  <c:v>Jun-17</c:v>
                </c:pt>
                <c:pt idx="12">
                  <c:v>Jul-17</c:v>
                </c:pt>
                <c:pt idx="13">
                  <c:v>Aug-17</c:v>
                </c:pt>
                <c:pt idx="14">
                  <c:v>Sep-17</c:v>
                </c:pt>
                <c:pt idx="15">
                  <c:v>Oct-17</c:v>
                </c:pt>
                <c:pt idx="16">
                  <c:v>Nov-17</c:v>
                </c:pt>
                <c:pt idx="17">
                  <c:v>Dec-17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'2017 Ameristar Prod Measure'!$B$20:$T$20</c15:sqref>
                  </c15:fullRef>
                </c:ext>
              </c:extLst>
              <c:f>('2017 Ameristar Prod Measure'!$B$20:$G$20,'2017 Ameristar Prod Measure'!$I$20:$T$20)</c:f>
              <c:numCache>
                <c:formatCode>0.0%</c:formatCode>
                <c:ptCount val="18"/>
                <c:pt idx="0">
                  <c:v>-1.3483436119529402E-2</c:v>
                </c:pt>
                <c:pt idx="1">
                  <c:v>2.2039282763437917E-2</c:v>
                </c:pt>
                <c:pt idx="2">
                  <c:v>1.3608055033045297E-2</c:v>
                </c:pt>
                <c:pt idx="3">
                  <c:v>1.6470411008024932E-3</c:v>
                </c:pt>
                <c:pt idx="4">
                  <c:v>4.4090186076712889E-3</c:v>
                </c:pt>
                <c:pt idx="5">
                  <c:v>1.0581118092383601E-2</c:v>
                </c:pt>
                <c:pt idx="6">
                  <c:v>1.6619664429302627E-3</c:v>
                </c:pt>
                <c:pt idx="7">
                  <c:v>2.955377204228582E-2</c:v>
                </c:pt>
                <c:pt idx="8">
                  <c:v>2.1508041243499365E-2</c:v>
                </c:pt>
                <c:pt idx="9">
                  <c:v>2.0201838920012927E-2</c:v>
                </c:pt>
                <c:pt idx="10">
                  <c:v>3.0608752224523972E-2</c:v>
                </c:pt>
                <c:pt idx="11">
                  <c:v>3.7347885120149416E-2</c:v>
                </c:pt>
                <c:pt idx="12">
                  <c:v>3.6785333751665927E-2</c:v>
                </c:pt>
                <c:pt idx="13">
                  <c:v>4.1788305907177525E-2</c:v>
                </c:pt>
                <c:pt idx="14">
                  <c:v>4.0831006504312484E-2</c:v>
                </c:pt>
                <c:pt idx="15">
                  <c:v>3.2619739389982527E-2</c:v>
                </c:pt>
                <c:pt idx="16">
                  <c:v>3.3038339419858342E-2</c:v>
                </c:pt>
                <c:pt idx="17">
                  <c:v>3.5651325559679536E-2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18F-42E0-82BB-7F0E3C800A8A}"/>
            </c:ext>
          </c:extLst>
        </c:ser>
        <c:ser>
          <c:idx val="3"/>
          <c:order val="3"/>
          <c:tx>
            <c:strRef>
              <c:f>'2017 Ameristar Prod Measure'!$A$22</c:f>
              <c:strCache>
                <c:ptCount val="1"/>
                <c:pt idx="0">
                  <c:v>% improvement from Base Line</c:v>
                </c:pt>
              </c:strCache>
            </c:strRef>
          </c:tx>
          <c:marker>
            <c:symbol val="none"/>
          </c:marker>
          <c:cat>
            <c:strLit>
              <c:ptCount val="18"/>
              <c:pt idx="0">
                <c:v>Q1-16</c:v>
              </c:pt>
              <c:pt idx="1">
                <c:v>Q2-16</c:v>
              </c:pt>
              <c:pt idx="2">
                <c:v>Q3-16</c:v>
              </c:pt>
              <c:pt idx="3">
                <c:v>Oct-16</c:v>
              </c:pt>
              <c:pt idx="4">
                <c:v>Nov-16</c:v>
              </c:pt>
              <c:pt idx="5">
                <c:v>Dec-16</c:v>
              </c:pt>
              <c:pt idx="6">
                <c:v>Jan-17</c:v>
              </c:pt>
              <c:pt idx="7">
                <c:v>Feb-17</c:v>
              </c:pt>
              <c:pt idx="8">
                <c:v>Mar-17</c:v>
              </c:pt>
              <c:pt idx="9">
                <c:v>Apr-17</c:v>
              </c:pt>
              <c:pt idx="10">
                <c:v>May-17</c:v>
              </c:pt>
              <c:pt idx="11">
                <c:v>Jun-17</c:v>
              </c:pt>
              <c:pt idx="12">
                <c:v>Jul-17</c:v>
              </c:pt>
              <c:pt idx="13">
                <c:v>Aug-17</c:v>
              </c:pt>
              <c:pt idx="14">
                <c:v>Sep-17</c:v>
              </c:pt>
              <c:pt idx="15">
                <c:v>Oct-17</c:v>
              </c:pt>
              <c:pt idx="16">
                <c:v>Nov-17</c:v>
              </c:pt>
              <c:pt idx="17">
                <c:v>Dec-17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'2017 Ameristar Prod Measure'!$B$22:$T$22</c15:sqref>
                  </c15:fullRef>
                </c:ext>
              </c:extLst>
              <c:f>('2017 Ameristar Prod Measure'!$B$22:$G$22,'2017 Ameristar Prod Measure'!$I$22:$T$22)</c:f>
              <c:numCache>
                <c:formatCode>0.0%</c:formatCode>
                <c:ptCount val="18"/>
                <c:pt idx="0">
                  <c:v>-1.3483436119529402E-2</c:v>
                </c:pt>
                <c:pt idx="1">
                  <c:v>5.195436921379093E-2</c:v>
                </c:pt>
                <c:pt idx="2">
                  <c:v>-1.1539784899746719E-3</c:v>
                </c:pt>
                <c:pt idx="3">
                  <c:v>-0.11890300961343681</c:v>
                </c:pt>
                <c:pt idx="4">
                  <c:v>3.5491169972874603E-2</c:v>
                </c:pt>
                <c:pt idx="5">
                  <c:v>9.3656513842337086E-2</c:v>
                </c:pt>
                <c:pt idx="6">
                  <c:v>1.6619664429302627E-3</c:v>
                </c:pt>
                <c:pt idx="7">
                  <c:v>5.4551281111886452E-2</c:v>
                </c:pt>
                <c:pt idx="8">
                  <c:v>8.2808309895876508E-3</c:v>
                </c:pt>
                <c:pt idx="9">
                  <c:v>1.591959554596456E-2</c:v>
                </c:pt>
                <c:pt idx="10">
                  <c:v>7.7354215661586734E-2</c:v>
                </c:pt>
                <c:pt idx="11">
                  <c:v>7.595780968719934E-2</c:v>
                </c:pt>
                <c:pt idx="12">
                  <c:v>3.291348819068407E-2</c:v>
                </c:pt>
                <c:pt idx="13">
                  <c:v>7.0698432405027267E-2</c:v>
                </c:pt>
                <c:pt idx="14">
                  <c:v>3.2845698382409916E-2</c:v>
                </c:pt>
                <c:pt idx="15">
                  <c:v>-4.6398828304972217E-2</c:v>
                </c:pt>
                <c:pt idx="16">
                  <c:v>3.779649348945302E-2</c:v>
                </c:pt>
                <c:pt idx="17">
                  <c:v>6.9648268264787649E-2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18F-42E0-82BB-7F0E3C800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465472"/>
        <c:axId val="181451008"/>
      </c:lineChart>
      <c:catAx>
        <c:axId val="18143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449088"/>
        <c:crosses val="autoZero"/>
        <c:auto val="1"/>
        <c:lblAlgn val="ctr"/>
        <c:lblOffset val="100"/>
        <c:noMultiLvlLbl val="1"/>
      </c:catAx>
      <c:valAx>
        <c:axId val="181449088"/>
        <c:scaling>
          <c:orientation val="minMax"/>
          <c:max val="0.75000000000000011"/>
          <c:min val="0.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Standard Labor Hours/ Actual Hours + OT Priemum</a:t>
                </a:r>
              </a:p>
            </c:rich>
          </c:tx>
          <c:layout>
            <c:manualLayout>
              <c:xMode val="edge"/>
              <c:yMode val="edge"/>
              <c:x val="6.4422982815786622E-2"/>
              <c:y val="0.2054084334348721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439104"/>
        <c:crosses val="autoZero"/>
        <c:crossBetween val="between"/>
        <c:majorUnit val="5.000000000000001E-2"/>
      </c:valAx>
      <c:valAx>
        <c:axId val="181451008"/>
        <c:scaling>
          <c:orientation val="minMax"/>
          <c:max val="0.4"/>
          <c:min val="-0.4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</a:t>
                </a:r>
              </a:p>
            </c:rich>
          </c:tx>
          <c:layout>
            <c:manualLayout>
              <c:xMode val="edge"/>
              <c:yMode val="edge"/>
              <c:x val="0.97540424986194463"/>
              <c:y val="0.4146949441538785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465472"/>
        <c:crosses val="max"/>
        <c:crossBetween val="between"/>
      </c:valAx>
      <c:catAx>
        <c:axId val="181465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1451008"/>
        <c:crosses val="autoZero"/>
        <c:auto val="1"/>
        <c:lblAlgn val="ctr"/>
        <c:lblOffset val="100"/>
        <c:noMultiLvlLbl val="1"/>
      </c:catAx>
      <c:dTable>
        <c:showHorzBorder val="1"/>
        <c:showVertBorder val="1"/>
        <c:showOutline val="1"/>
        <c:showKeys val="1"/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25" l="0.2" r="0.2" t="0.25" header="0.30000000000000032" footer="0.30000000000000032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 Weekly Productivity Measure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447391650378814E-2"/>
          <c:y val="7.1199843646719566E-2"/>
          <c:w val="0.90080845672787246"/>
          <c:h val="0.807091129143063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'PC% - AAG'!$A$11</c:f>
              <c:strCache>
                <c:ptCount val="1"/>
                <c:pt idx="0">
                  <c:v>Weekly-Actual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'PC% - AAG'!$B$10:$BJ$10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'PC% - AAG'!$B$11:$BJ$11</c:f>
              <c:numCache>
                <c:formatCode>0.0%</c:formatCode>
                <c:ptCount val="61"/>
                <c:pt idx="0">
                  <c:v>0.42135450048480666</c:v>
                </c:pt>
                <c:pt idx="1">
                  <c:v>0.41623305684806799</c:v>
                </c:pt>
                <c:pt idx="2">
                  <c:v>0.41652353143249743</c:v>
                </c:pt>
                <c:pt idx="3">
                  <c:v>0.41391409072661578</c:v>
                </c:pt>
                <c:pt idx="4">
                  <c:v>0.41343508280122515</c:v>
                </c:pt>
                <c:pt idx="5">
                  <c:v>0.41343508280122515</c:v>
                </c:pt>
                <c:pt idx="6">
                  <c:v>0.41343508280122515</c:v>
                </c:pt>
                <c:pt idx="7">
                  <c:v>0.41343508280122515</c:v>
                </c:pt>
                <c:pt idx="8">
                  <c:v>0.4170032778034084</c:v>
                </c:pt>
                <c:pt idx="9">
                  <c:v>0.4170032778034084</c:v>
                </c:pt>
                <c:pt idx="10">
                  <c:v>0.4170032778034084</c:v>
                </c:pt>
                <c:pt idx="11">
                  <c:v>0.4170032778034084</c:v>
                </c:pt>
                <c:pt idx="12">
                  <c:v>0.41869101944367298</c:v>
                </c:pt>
                <c:pt idx="13">
                  <c:v>0.41869101944367298</c:v>
                </c:pt>
                <c:pt idx="14">
                  <c:v>0.41869101944367298</c:v>
                </c:pt>
                <c:pt idx="15">
                  <c:v>0.41869101944367298</c:v>
                </c:pt>
                <c:pt idx="16">
                  <c:v>0.42160583568194165</c:v>
                </c:pt>
                <c:pt idx="17">
                  <c:v>0.42160583568194165</c:v>
                </c:pt>
                <c:pt idx="18">
                  <c:v>0.42160583568194165</c:v>
                </c:pt>
                <c:pt idx="19">
                  <c:v>0.42160583568194165</c:v>
                </c:pt>
                <c:pt idx="20">
                  <c:v>0.42160583568194165</c:v>
                </c:pt>
                <c:pt idx="21">
                  <c:v>0.42387082248767394</c:v>
                </c:pt>
                <c:pt idx="22">
                  <c:v>0.42430378553413733</c:v>
                </c:pt>
                <c:pt idx="23">
                  <c:v>0.42473763398560377</c:v>
                </c:pt>
                <c:pt idx="24">
                  <c:v>0.42560799798967258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1-4B08-8A26-2DE9D84A4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1594368"/>
        <c:axId val="181596160"/>
      </c:barChart>
      <c:lineChart>
        <c:grouping val="standard"/>
        <c:varyColors val="0"/>
        <c:ser>
          <c:idx val="2"/>
          <c:order val="2"/>
          <c:tx>
            <c:strRef>
              <c:f>'PC% - AAG'!$A$13</c:f>
              <c:strCache>
                <c:ptCount val="1"/>
                <c:pt idx="0">
                  <c:v>Base 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'PC% - AAG'!$B$10:$BJ$10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'PC% - AAG'!$B$13:$BJ$13</c:f>
              <c:numCache>
                <c:formatCode>0.0%</c:formatCode>
                <c:ptCount val="61"/>
                <c:pt idx="0">
                  <c:v>0.42</c:v>
                </c:pt>
                <c:pt idx="1">
                  <c:v>0.42</c:v>
                </c:pt>
                <c:pt idx="2">
                  <c:v>0.42</c:v>
                </c:pt>
                <c:pt idx="3">
                  <c:v>0.42</c:v>
                </c:pt>
                <c:pt idx="4">
                  <c:v>0.41637646001610223</c:v>
                </c:pt>
                <c:pt idx="5">
                  <c:v>0.41637646001610223</c:v>
                </c:pt>
                <c:pt idx="6">
                  <c:v>0.41637646001610223</c:v>
                </c:pt>
                <c:pt idx="7">
                  <c:v>0.41637646001610223</c:v>
                </c:pt>
                <c:pt idx="8">
                  <c:v>0.41637646001610223</c:v>
                </c:pt>
                <c:pt idx="9">
                  <c:v>0.41637646001610223</c:v>
                </c:pt>
                <c:pt idx="10">
                  <c:v>0.41637646001610223</c:v>
                </c:pt>
                <c:pt idx="11">
                  <c:v>0.41637646001610223</c:v>
                </c:pt>
                <c:pt idx="12">
                  <c:v>0.41637646001610223</c:v>
                </c:pt>
                <c:pt idx="13">
                  <c:v>0.41637646001610223</c:v>
                </c:pt>
                <c:pt idx="14">
                  <c:v>0.41637646001610223</c:v>
                </c:pt>
                <c:pt idx="15">
                  <c:v>0.41637646001610223</c:v>
                </c:pt>
                <c:pt idx="16">
                  <c:v>0.41637646001610223</c:v>
                </c:pt>
                <c:pt idx="17">
                  <c:v>0.41637646001610223</c:v>
                </c:pt>
                <c:pt idx="18">
                  <c:v>0.41637646001610223</c:v>
                </c:pt>
                <c:pt idx="19">
                  <c:v>0.41637646001610223</c:v>
                </c:pt>
                <c:pt idx="20">
                  <c:v>0.41637646001610223</c:v>
                </c:pt>
                <c:pt idx="21">
                  <c:v>0.41637646001610223</c:v>
                </c:pt>
                <c:pt idx="22">
                  <c:v>0.41637646001610223</c:v>
                </c:pt>
                <c:pt idx="23">
                  <c:v>0.41637646001610223</c:v>
                </c:pt>
                <c:pt idx="24">
                  <c:v>0.41637646001610223</c:v>
                </c:pt>
                <c:pt idx="25">
                  <c:v>0.41637646001610223</c:v>
                </c:pt>
                <c:pt idx="26">
                  <c:v>0.41637646001610223</c:v>
                </c:pt>
                <c:pt idx="27">
                  <c:v>0.41637646001610223</c:v>
                </c:pt>
                <c:pt idx="28">
                  <c:v>0.41637646001610223</c:v>
                </c:pt>
                <c:pt idx="29">
                  <c:v>0.41637646001610223</c:v>
                </c:pt>
                <c:pt idx="30">
                  <c:v>0.41637646001610223</c:v>
                </c:pt>
                <c:pt idx="31">
                  <c:v>0.41637646001610223</c:v>
                </c:pt>
                <c:pt idx="32">
                  <c:v>0.41637646001610223</c:v>
                </c:pt>
                <c:pt idx="33">
                  <c:v>0.41637646001610223</c:v>
                </c:pt>
                <c:pt idx="34">
                  <c:v>0.41637646001610223</c:v>
                </c:pt>
                <c:pt idx="35">
                  <c:v>0.41637646001610223</c:v>
                </c:pt>
                <c:pt idx="36">
                  <c:v>0.41637646001610223</c:v>
                </c:pt>
                <c:pt idx="37">
                  <c:v>0.41637646001610223</c:v>
                </c:pt>
                <c:pt idx="38">
                  <c:v>0.41637646001610223</c:v>
                </c:pt>
                <c:pt idx="39">
                  <c:v>0.41637646001610223</c:v>
                </c:pt>
                <c:pt idx="40">
                  <c:v>0.41637646001610223</c:v>
                </c:pt>
                <c:pt idx="41">
                  <c:v>0.41637646001610223</c:v>
                </c:pt>
                <c:pt idx="42">
                  <c:v>0.41637646001610223</c:v>
                </c:pt>
                <c:pt idx="43">
                  <c:v>0.41637646001610223</c:v>
                </c:pt>
                <c:pt idx="44">
                  <c:v>0.41637646001610223</c:v>
                </c:pt>
                <c:pt idx="45">
                  <c:v>0.41637646001610223</c:v>
                </c:pt>
                <c:pt idx="46">
                  <c:v>0.41637646001610223</c:v>
                </c:pt>
                <c:pt idx="47">
                  <c:v>0.41637646001610223</c:v>
                </c:pt>
                <c:pt idx="48">
                  <c:v>0.41637646001610223</c:v>
                </c:pt>
                <c:pt idx="49">
                  <c:v>0.41637646001610223</c:v>
                </c:pt>
                <c:pt idx="50">
                  <c:v>0.41637646001610223</c:v>
                </c:pt>
                <c:pt idx="51">
                  <c:v>0.41637646001610223</c:v>
                </c:pt>
                <c:pt idx="52">
                  <c:v>0.41637646001610223</c:v>
                </c:pt>
                <c:pt idx="53">
                  <c:v>0.41637646001610223</c:v>
                </c:pt>
                <c:pt idx="54">
                  <c:v>0.41637646001610223</c:v>
                </c:pt>
                <c:pt idx="55">
                  <c:v>0.41637646001610223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31-4B08-8A26-2DE9D84A4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594368"/>
        <c:axId val="181596160"/>
      </c:lineChart>
      <c:lineChart>
        <c:grouping val="standard"/>
        <c:varyColors val="0"/>
        <c:ser>
          <c:idx val="1"/>
          <c:order val="1"/>
          <c:tx>
            <c:strRef>
              <c:f>'PC% - AAG'!$A$12</c:f>
              <c:strCache>
                <c:ptCount val="1"/>
                <c:pt idx="0">
                  <c:v>YTD % improvement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'PC% - AAG'!$B$10:$BJ$10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'PC% - AAG'!$B$12:$BJ$12</c:f>
              <c:numCache>
                <c:formatCode>0.0%</c:formatCode>
                <c:ptCount val="61"/>
                <c:pt idx="0">
                  <c:v>3.2250011543015766E-3</c:v>
                </c:pt>
                <c:pt idx="1">
                  <c:v>-2.8719555561016463E-3</c:v>
                </c:pt>
                <c:pt idx="2">
                  <c:v>-4.6737390751017127E-3</c:v>
                </c:pt>
                <c:pt idx="3">
                  <c:v>-7.1278693500073098E-3</c:v>
                </c:pt>
                <c:pt idx="4">
                  <c:v>-7.0642255202499893E-3</c:v>
                </c:pt>
                <c:pt idx="5">
                  <c:v>-7.0642255202499893E-3</c:v>
                </c:pt>
                <c:pt idx="6">
                  <c:v>-7.0642255202499893E-3</c:v>
                </c:pt>
                <c:pt idx="7">
                  <c:v>-7.0642255202499893E-3</c:v>
                </c:pt>
                <c:pt idx="8">
                  <c:v>-4.1497708195136207E-3</c:v>
                </c:pt>
                <c:pt idx="9">
                  <c:v>-2.7145879025908259E-3</c:v>
                </c:pt>
                <c:pt idx="10">
                  <c:v>-1.8604047008611291E-3</c:v>
                </c:pt>
                <c:pt idx="11">
                  <c:v>-1.2938063346848994E-3</c:v>
                </c:pt>
                <c:pt idx="12">
                  <c:v>1.1773799381686878E-4</c:v>
                </c:pt>
                <c:pt idx="13">
                  <c:v>1.0470902567227824E-3</c:v>
                </c:pt>
                <c:pt idx="14">
                  <c:v>1.7052847421650252E-3</c:v>
                </c:pt>
                <c:pt idx="15">
                  <c:v>2.1958866526912146E-3</c:v>
                </c:pt>
                <c:pt idx="16">
                  <c:v>3.4312672685985479E-3</c:v>
                </c:pt>
                <c:pt idx="17">
                  <c:v>4.4034874260761026E-3</c:v>
                </c:pt>
                <c:pt idx="18">
                  <c:v>5.1885406261027445E-3</c:v>
                </c:pt>
                <c:pt idx="19">
                  <c:v>5.8357297638433892E-3</c:v>
                </c:pt>
                <c:pt idx="20">
                  <c:v>6.3784391982590893E-3</c:v>
                </c:pt>
                <c:pt idx="21">
                  <c:v>7.6739401448757683E-3</c:v>
                </c:pt>
                <c:pt idx="22">
                  <c:v>8.8128101668791814E-3</c:v>
                </c:pt>
                <c:pt idx="23">
                  <c:v>9.8381699732430494E-3</c:v>
                </c:pt>
                <c:pt idx="24">
                  <c:v>1.0864905070296027E-2</c:v>
                </c:pt>
                <c:pt idx="25">
                  <c:v>1.0864905070296027E-2</c:v>
                </c:pt>
                <c:pt idx="26">
                  <c:v>1.0864905070296027E-2</c:v>
                </c:pt>
                <c:pt idx="27">
                  <c:v>1.0864905070296027E-2</c:v>
                </c:pt>
                <c:pt idx="28">
                  <c:v>1.0864905070296027E-2</c:v>
                </c:pt>
                <c:pt idx="29">
                  <c:v>1.0864905070296027E-2</c:v>
                </c:pt>
                <c:pt idx="30">
                  <c:v>1.0864905070296027E-2</c:v>
                </c:pt>
                <c:pt idx="31">
                  <c:v>1.0864905070296027E-2</c:v>
                </c:pt>
                <c:pt idx="32">
                  <c:v>1.0864905070296027E-2</c:v>
                </c:pt>
                <c:pt idx="33">
                  <c:v>1.0864905070296027E-2</c:v>
                </c:pt>
                <c:pt idx="34">
                  <c:v>1.0864905070296027E-2</c:v>
                </c:pt>
                <c:pt idx="35">
                  <c:v>1.0864905070296027E-2</c:v>
                </c:pt>
                <c:pt idx="36">
                  <c:v>1.0864905070296027E-2</c:v>
                </c:pt>
                <c:pt idx="37">
                  <c:v>1.0864905070296027E-2</c:v>
                </c:pt>
                <c:pt idx="38">
                  <c:v>1.0864905070296027E-2</c:v>
                </c:pt>
                <c:pt idx="39">
                  <c:v>1.0864905070296027E-2</c:v>
                </c:pt>
                <c:pt idx="40">
                  <c:v>1.0864905070296027E-2</c:v>
                </c:pt>
                <c:pt idx="41">
                  <c:v>1.0864905070296027E-2</c:v>
                </c:pt>
                <c:pt idx="42">
                  <c:v>1.0864905070296027E-2</c:v>
                </c:pt>
                <c:pt idx="43">
                  <c:v>1.0864905070296027E-2</c:v>
                </c:pt>
                <c:pt idx="44">
                  <c:v>1.0864905070296027E-2</c:v>
                </c:pt>
                <c:pt idx="45">
                  <c:v>1.0864905070296027E-2</c:v>
                </c:pt>
                <c:pt idx="46">
                  <c:v>1.0864905070296027E-2</c:v>
                </c:pt>
                <c:pt idx="47">
                  <c:v>1.0864905070296027E-2</c:v>
                </c:pt>
                <c:pt idx="48">
                  <c:v>1.0864905070296027E-2</c:v>
                </c:pt>
                <c:pt idx="49">
                  <c:v>1.0864905070296027E-2</c:v>
                </c:pt>
                <c:pt idx="50">
                  <c:v>1.0864905070296027E-2</c:v>
                </c:pt>
                <c:pt idx="51">
                  <c:v>1.0864905070296027E-2</c:v>
                </c:pt>
                <c:pt idx="52">
                  <c:v>1.0864905070296027E-2</c:v>
                </c:pt>
                <c:pt idx="53">
                  <c:v>1.0864905070296027E-2</c:v>
                </c:pt>
                <c:pt idx="54">
                  <c:v>1.0864905070296027E-2</c:v>
                </c:pt>
                <c:pt idx="55">
                  <c:v>1.0864905070296027E-2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31-4B08-8A26-2DE9D84A4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600256"/>
        <c:axId val="181598080"/>
      </c:lineChart>
      <c:catAx>
        <c:axId val="18159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596160"/>
        <c:crosses val="autoZero"/>
        <c:auto val="1"/>
        <c:lblAlgn val="ctr"/>
        <c:lblOffset val="100"/>
        <c:noMultiLvlLbl val="0"/>
      </c:catAx>
      <c:valAx>
        <c:axId val="181596160"/>
        <c:scaling>
          <c:orientation val="minMax"/>
          <c:max val="0.45"/>
          <c:min val="0.410000000000000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594368"/>
        <c:crosses val="autoZero"/>
        <c:crossBetween val="between"/>
      </c:valAx>
      <c:valAx>
        <c:axId val="181598080"/>
        <c:scaling>
          <c:orientation val="minMax"/>
          <c:max val="0.1"/>
          <c:min val="-2.0000000000000011E-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00256"/>
        <c:crosses val="max"/>
        <c:crossBetween val="between"/>
      </c:valAx>
      <c:catAx>
        <c:axId val="181600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159808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25" l="0.2" r="0.2" t="0.25" header="0.30000000000000021" footer="0.30000000000000021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 Monthly Productivity Measure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'PC% - AAG'!$A$18</c:f>
              <c:strCache>
                <c:ptCount val="1"/>
                <c:pt idx="0">
                  <c:v>Monthly-Actual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'PC%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'PC% - AAG'!$B$18:$Q$18</c:f>
              <c:numCache>
                <c:formatCode>0.0%</c:formatCode>
                <c:ptCount val="16"/>
                <c:pt idx="0">
                  <c:v>0.42135450048480666</c:v>
                </c:pt>
                <c:pt idx="1">
                  <c:v>0.41623305684806799</c:v>
                </c:pt>
                <c:pt idx="2">
                  <c:v>0.41652353143249743</c:v>
                </c:pt>
                <c:pt idx="3">
                  <c:v>0.41391409072661578</c:v>
                </c:pt>
                <c:pt idx="4">
                  <c:v>0.41343508280122515</c:v>
                </c:pt>
                <c:pt idx="5">
                  <c:v>0.4170032778034084</c:v>
                </c:pt>
                <c:pt idx="6">
                  <c:v>0.41869101944367298</c:v>
                </c:pt>
                <c:pt idx="7">
                  <c:v>0.42160583568194165</c:v>
                </c:pt>
                <c:pt idx="8">
                  <c:v>0.42462908871752669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78-4002-B37A-EE11D78F2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622272"/>
        <c:axId val="181623808"/>
      </c:barChart>
      <c:lineChart>
        <c:grouping val="standard"/>
        <c:varyColors val="0"/>
        <c:ser>
          <c:idx val="2"/>
          <c:order val="2"/>
          <c:tx>
            <c:strRef>
              <c:f>'PC% - AAG'!$A$20</c:f>
              <c:strCache>
                <c:ptCount val="1"/>
                <c:pt idx="0">
                  <c:v>Base 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'PC%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'PC% - AAG'!$B$20:$Q$20</c:f>
              <c:numCache>
                <c:formatCode>0.0%</c:formatCode>
                <c:ptCount val="16"/>
                <c:pt idx="0">
                  <c:v>0.42</c:v>
                </c:pt>
                <c:pt idx="1">
                  <c:v>0.42</c:v>
                </c:pt>
                <c:pt idx="2">
                  <c:v>0.42</c:v>
                </c:pt>
                <c:pt idx="3">
                  <c:v>0.42</c:v>
                </c:pt>
                <c:pt idx="4">
                  <c:v>0.41637646001610223</c:v>
                </c:pt>
                <c:pt idx="5">
                  <c:v>0.41637646001610223</c:v>
                </c:pt>
                <c:pt idx="6">
                  <c:v>0.41637646001610223</c:v>
                </c:pt>
                <c:pt idx="7">
                  <c:v>0.41637646001610223</c:v>
                </c:pt>
                <c:pt idx="8">
                  <c:v>0.41637646001610223</c:v>
                </c:pt>
                <c:pt idx="9">
                  <c:v>0.41637646001610223</c:v>
                </c:pt>
                <c:pt idx="10">
                  <c:v>0.41637646001610223</c:v>
                </c:pt>
                <c:pt idx="11">
                  <c:v>0.41637646001610223</c:v>
                </c:pt>
                <c:pt idx="12">
                  <c:v>0.41637646001610223</c:v>
                </c:pt>
                <c:pt idx="13">
                  <c:v>0.41637646001610223</c:v>
                </c:pt>
                <c:pt idx="14">
                  <c:v>0.41637646001610223</c:v>
                </c:pt>
                <c:pt idx="15">
                  <c:v>0.41637646001610223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78-4002-B37A-EE11D78F2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622272"/>
        <c:axId val="181623808"/>
      </c:lineChart>
      <c:lineChart>
        <c:grouping val="standard"/>
        <c:varyColors val="0"/>
        <c:ser>
          <c:idx val="1"/>
          <c:order val="1"/>
          <c:tx>
            <c:strRef>
              <c:f>'PC% - AAG'!$A$19</c:f>
              <c:strCache>
                <c:ptCount val="1"/>
                <c:pt idx="0">
                  <c:v>YTD % improvement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'PC%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'PC% - AAG'!$B$19:$Q$19</c:f>
              <c:numCache>
                <c:formatCode>0.0%</c:formatCode>
                <c:ptCount val="16"/>
                <c:pt idx="0">
                  <c:v>3.2250011543015766E-3</c:v>
                </c:pt>
                <c:pt idx="1">
                  <c:v>-2.8719555561016463E-3</c:v>
                </c:pt>
                <c:pt idx="2">
                  <c:v>-4.6737390751017127E-3</c:v>
                </c:pt>
                <c:pt idx="3">
                  <c:v>-7.1278693500073098E-3</c:v>
                </c:pt>
                <c:pt idx="4">
                  <c:v>-7.0642255202499893E-3</c:v>
                </c:pt>
                <c:pt idx="5">
                  <c:v>-1.2938063346848994E-3</c:v>
                </c:pt>
                <c:pt idx="6">
                  <c:v>1.1773799381686878E-4</c:v>
                </c:pt>
                <c:pt idx="7">
                  <c:v>1.0470902567227824E-3</c:v>
                </c:pt>
                <c:pt idx="8">
                  <c:v>1.7052847421650252E-3</c:v>
                </c:pt>
                <c:pt idx="9">
                  <c:v>2.1958866526912146E-3</c:v>
                </c:pt>
                <c:pt idx="10">
                  <c:v>3.4312672685985479E-3</c:v>
                </c:pt>
                <c:pt idx="11">
                  <c:v>4.4034874260761026E-3</c:v>
                </c:pt>
                <c:pt idx="12">
                  <c:v>5.1885406261027445E-3</c:v>
                </c:pt>
                <c:pt idx="13">
                  <c:v>5.8357297638433892E-3</c:v>
                </c:pt>
                <c:pt idx="14">
                  <c:v>6.3784391982590893E-3</c:v>
                </c:pt>
                <c:pt idx="15">
                  <c:v>7.6739401448757683E-3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78-4002-B37A-EE11D78F2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627904"/>
        <c:axId val="181625984"/>
      </c:lineChart>
      <c:catAx>
        <c:axId val="18162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3808"/>
        <c:crosses val="autoZero"/>
        <c:auto val="1"/>
        <c:lblAlgn val="ctr"/>
        <c:lblOffset val="100"/>
        <c:noMultiLvlLbl val="0"/>
      </c:catAx>
      <c:valAx>
        <c:axId val="181623808"/>
        <c:scaling>
          <c:orientation val="minMax"/>
          <c:max val="0.45"/>
          <c:min val="0.410000000000000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Efficiency</a:t>
                </a:r>
              </a:p>
            </c:rich>
          </c:tx>
          <c:layout>
            <c:manualLayout>
              <c:xMode val="edge"/>
              <c:yMode val="edge"/>
              <c:x val="0.10286529092267026"/>
              <c:y val="0.378644472279825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272"/>
        <c:crosses val="autoZero"/>
        <c:crossBetween val="between"/>
      </c:valAx>
      <c:valAx>
        <c:axId val="181625984"/>
        <c:scaling>
          <c:orientation val="minMax"/>
          <c:max val="5.0000000000000024E-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7904"/>
        <c:crosses val="max"/>
        <c:crossBetween val="between"/>
      </c:valAx>
      <c:catAx>
        <c:axId val="181627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162598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25" l="0.2" r="0.2" t="0.25" header="0.30000000000000021" footer="0.30000000000000021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 Weekly Productivity Measure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'PC$ - AAG'!$A$11</c:f>
              <c:strCache>
                <c:ptCount val="1"/>
                <c:pt idx="0">
                  <c:v>Weekly-Actual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'PC$ - AAG'!$B$10:$BE$10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'PC$ - AAG'!$B$11:$BE$11</c:f>
              <c:numCache>
                <c:formatCode>_("$"* #,##0.00_);_("$"* \(#,##0.00\);_("$"* "-"??_);_(@_)</c:formatCode>
                <c:ptCount val="56"/>
                <c:pt idx="0">
                  <c:v>6.3203175072721001</c:v>
                </c:pt>
                <c:pt idx="1">
                  <c:v>6.2434958527210194</c:v>
                </c:pt>
                <c:pt idx="2">
                  <c:v>6.2478529714874611</c:v>
                </c:pt>
                <c:pt idx="3">
                  <c:v>6.2087113608992368</c:v>
                </c:pt>
                <c:pt idx="4">
                  <c:v>6.2015262420183772</c:v>
                </c:pt>
                <c:pt idx="5">
                  <c:v>6.2015262420183772</c:v>
                </c:pt>
                <c:pt idx="6">
                  <c:v>6.2015262420183772</c:v>
                </c:pt>
                <c:pt idx="7">
                  <c:v>6.2015262420183772</c:v>
                </c:pt>
                <c:pt idx="8">
                  <c:v>6.2550491670511255</c:v>
                </c:pt>
                <c:pt idx="9">
                  <c:v>6.2550491670511255</c:v>
                </c:pt>
                <c:pt idx="10">
                  <c:v>6.2550491670511255</c:v>
                </c:pt>
                <c:pt idx="11">
                  <c:v>6.2550491670511255</c:v>
                </c:pt>
                <c:pt idx="12">
                  <c:v>6.2803652916550954</c:v>
                </c:pt>
                <c:pt idx="13">
                  <c:v>6.2803652916550954</c:v>
                </c:pt>
                <c:pt idx="14">
                  <c:v>6.2803652916550954</c:v>
                </c:pt>
                <c:pt idx="15">
                  <c:v>6.2803652916550954</c:v>
                </c:pt>
                <c:pt idx="16">
                  <c:v>6.3240875352291246</c:v>
                </c:pt>
                <c:pt idx="17">
                  <c:v>6.3240875352291246</c:v>
                </c:pt>
                <c:pt idx="18">
                  <c:v>6.3240875352291246</c:v>
                </c:pt>
                <c:pt idx="19">
                  <c:v>6.3240875352291246</c:v>
                </c:pt>
                <c:pt idx="20">
                  <c:v>6.3240875352291246</c:v>
                </c:pt>
                <c:pt idx="21">
                  <c:v>6.3580623373151086</c:v>
                </c:pt>
                <c:pt idx="22">
                  <c:v>6.36455678301206</c:v>
                </c:pt>
                <c:pt idx="23">
                  <c:v>6.3710645097840564</c:v>
                </c:pt>
                <c:pt idx="24">
                  <c:v>6.3841199698450888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A-4F9E-B37F-345FFF7BC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62848"/>
        <c:axId val="181664384"/>
      </c:barChart>
      <c:lineChart>
        <c:grouping val="standard"/>
        <c:varyColors val="0"/>
        <c:ser>
          <c:idx val="2"/>
          <c:order val="2"/>
          <c:tx>
            <c:strRef>
              <c:f>'PC$ - AAG'!$A$13</c:f>
              <c:strCache>
                <c:ptCount val="1"/>
                <c:pt idx="0">
                  <c:v>Base 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'PC$ - AAG'!$B$10:$BE$10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'PC$ - AAG'!$B$13:$BE$13</c:f>
              <c:numCache>
                <c:formatCode>_("$"* #,##0.00_);_("$"* \(#,##0.00\);_("$"* "-"??_);_(@_)</c:formatCode>
                <c:ptCount val="56"/>
                <c:pt idx="0">
                  <c:v>6.3</c:v>
                </c:pt>
                <c:pt idx="1">
                  <c:v>6.3</c:v>
                </c:pt>
                <c:pt idx="2">
                  <c:v>6.3</c:v>
                </c:pt>
                <c:pt idx="3">
                  <c:v>6.3</c:v>
                </c:pt>
                <c:pt idx="4">
                  <c:v>6.2456469002415327</c:v>
                </c:pt>
                <c:pt idx="5">
                  <c:v>6.2456469002415327</c:v>
                </c:pt>
                <c:pt idx="6">
                  <c:v>6.2456469002415327</c:v>
                </c:pt>
                <c:pt idx="7">
                  <c:v>6.2456469002415327</c:v>
                </c:pt>
                <c:pt idx="8">
                  <c:v>6.2456469002415327</c:v>
                </c:pt>
                <c:pt idx="9">
                  <c:v>6.2456469002415327</c:v>
                </c:pt>
                <c:pt idx="10">
                  <c:v>6.2456469002415327</c:v>
                </c:pt>
                <c:pt idx="11">
                  <c:v>6.2456469002415327</c:v>
                </c:pt>
                <c:pt idx="12">
                  <c:v>6.2456469002415327</c:v>
                </c:pt>
                <c:pt idx="13">
                  <c:v>6.2456469002415327</c:v>
                </c:pt>
                <c:pt idx="14">
                  <c:v>6.2456469002415327</c:v>
                </c:pt>
                <c:pt idx="15">
                  <c:v>6.2456469002415327</c:v>
                </c:pt>
                <c:pt idx="16">
                  <c:v>6.2456469002415327</c:v>
                </c:pt>
                <c:pt idx="17">
                  <c:v>6.2456469002415327</c:v>
                </c:pt>
                <c:pt idx="18">
                  <c:v>6.2456469002415327</c:v>
                </c:pt>
                <c:pt idx="19">
                  <c:v>6.2456469002415327</c:v>
                </c:pt>
                <c:pt idx="20">
                  <c:v>6.2456469002415327</c:v>
                </c:pt>
                <c:pt idx="21">
                  <c:v>6.2456469002415327</c:v>
                </c:pt>
                <c:pt idx="22">
                  <c:v>6.2456469002415327</c:v>
                </c:pt>
                <c:pt idx="23">
                  <c:v>6.2456469002415327</c:v>
                </c:pt>
                <c:pt idx="24">
                  <c:v>6.2456469002415327</c:v>
                </c:pt>
                <c:pt idx="25">
                  <c:v>6.2456469002415327</c:v>
                </c:pt>
                <c:pt idx="26">
                  <c:v>6.2456469002415327</c:v>
                </c:pt>
                <c:pt idx="27">
                  <c:v>6.2456469002415327</c:v>
                </c:pt>
                <c:pt idx="28">
                  <c:v>6.2456469002415327</c:v>
                </c:pt>
                <c:pt idx="29">
                  <c:v>6.2456469002415327</c:v>
                </c:pt>
                <c:pt idx="30">
                  <c:v>6.2456469002415327</c:v>
                </c:pt>
                <c:pt idx="31">
                  <c:v>6.2456469002415327</c:v>
                </c:pt>
                <c:pt idx="32">
                  <c:v>6.2456469002415327</c:v>
                </c:pt>
                <c:pt idx="33">
                  <c:v>6.2456469002415327</c:v>
                </c:pt>
                <c:pt idx="34">
                  <c:v>6.2456469002415327</c:v>
                </c:pt>
                <c:pt idx="35">
                  <c:v>6.2456469002415327</c:v>
                </c:pt>
                <c:pt idx="36">
                  <c:v>6.2456469002415327</c:v>
                </c:pt>
                <c:pt idx="37">
                  <c:v>6.2456469002415327</c:v>
                </c:pt>
                <c:pt idx="38">
                  <c:v>6.2456469002415327</c:v>
                </c:pt>
                <c:pt idx="39">
                  <c:v>6.2456469002415327</c:v>
                </c:pt>
                <c:pt idx="40">
                  <c:v>6.2456469002415327</c:v>
                </c:pt>
                <c:pt idx="41">
                  <c:v>6.2456469002415327</c:v>
                </c:pt>
                <c:pt idx="42">
                  <c:v>6.2456469002415327</c:v>
                </c:pt>
                <c:pt idx="43">
                  <c:v>6.2456469002415327</c:v>
                </c:pt>
                <c:pt idx="44">
                  <c:v>6.2456469002415327</c:v>
                </c:pt>
                <c:pt idx="45">
                  <c:v>6.2456469002415327</c:v>
                </c:pt>
                <c:pt idx="46">
                  <c:v>6.2456469002415327</c:v>
                </c:pt>
                <c:pt idx="47">
                  <c:v>6.2456469002415327</c:v>
                </c:pt>
                <c:pt idx="48">
                  <c:v>6.2456469002415327</c:v>
                </c:pt>
                <c:pt idx="49">
                  <c:v>6.2456469002415327</c:v>
                </c:pt>
                <c:pt idx="50">
                  <c:v>6.2456469002415327</c:v>
                </c:pt>
                <c:pt idx="51">
                  <c:v>6.2456469002415327</c:v>
                </c:pt>
                <c:pt idx="52">
                  <c:v>6.2456469002415327</c:v>
                </c:pt>
                <c:pt idx="53">
                  <c:v>6.2456469002415327</c:v>
                </c:pt>
                <c:pt idx="54">
                  <c:v>6.2456469002415327</c:v>
                </c:pt>
                <c:pt idx="55">
                  <c:v>6.2456469002415327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5A-4F9E-B37F-345FFF7BC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662848"/>
        <c:axId val="181664384"/>
      </c:lineChart>
      <c:lineChart>
        <c:grouping val="standard"/>
        <c:varyColors val="0"/>
        <c:ser>
          <c:idx val="1"/>
          <c:order val="1"/>
          <c:tx>
            <c:strRef>
              <c:f>'PC$ - AAG'!$A$12</c:f>
              <c:strCache>
                <c:ptCount val="1"/>
                <c:pt idx="0">
                  <c:v>YTD % improvement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'PC$ - AAG'!$B$10:$BE$10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'PC$ - AAG'!$B$12:$BE$12</c:f>
              <c:numCache>
                <c:formatCode>0.0%</c:formatCode>
                <c:ptCount val="56"/>
                <c:pt idx="0">
                  <c:v>3.2250011543015766E-3</c:v>
                </c:pt>
                <c:pt idx="1">
                  <c:v>-2.8719555561016463E-3</c:v>
                </c:pt>
                <c:pt idx="2">
                  <c:v>-4.6737390751014907E-3</c:v>
                </c:pt>
                <c:pt idx="3">
                  <c:v>-7.1278693500071988E-3</c:v>
                </c:pt>
                <c:pt idx="4" formatCode="0%">
                  <c:v>-7.0642255202498783E-3</c:v>
                </c:pt>
                <c:pt idx="5">
                  <c:v>-7.0642255202498783E-3</c:v>
                </c:pt>
                <c:pt idx="6">
                  <c:v>-7.0642255202498783E-3</c:v>
                </c:pt>
                <c:pt idx="7">
                  <c:v>-7.0642255202498783E-3</c:v>
                </c:pt>
                <c:pt idx="8">
                  <c:v>-4.1497708195135097E-3</c:v>
                </c:pt>
                <c:pt idx="9">
                  <c:v>-2.7145879025907149E-3</c:v>
                </c:pt>
                <c:pt idx="10">
                  <c:v>-1.8604047008611291E-3</c:v>
                </c:pt>
                <c:pt idx="11">
                  <c:v>-1.2938063346848994E-3</c:v>
                </c:pt>
                <c:pt idx="12">
                  <c:v>1.1773799381686878E-4</c:v>
                </c:pt>
                <c:pt idx="13">
                  <c:v>1.0470902567227824E-3</c:v>
                </c:pt>
                <c:pt idx="14">
                  <c:v>1.7052847421652473E-3</c:v>
                </c:pt>
                <c:pt idx="15">
                  <c:v>2.1958866526914367E-3</c:v>
                </c:pt>
                <c:pt idx="16">
                  <c:v>3.43126726859877E-3</c:v>
                </c:pt>
                <c:pt idx="17">
                  <c:v>4.4034874260763246E-3</c:v>
                </c:pt>
                <c:pt idx="18">
                  <c:v>5.1885406261029665E-3</c:v>
                </c:pt>
                <c:pt idx="19">
                  <c:v>5.8357297638431671E-3</c:v>
                </c:pt>
                <c:pt idx="20">
                  <c:v>6.3784391982590893E-3</c:v>
                </c:pt>
                <c:pt idx="21">
                  <c:v>7.6739401448757683E-3</c:v>
                </c:pt>
                <c:pt idx="22">
                  <c:v>8.8128101668791814E-3</c:v>
                </c:pt>
                <c:pt idx="23">
                  <c:v>9.8381699732430494E-3</c:v>
                </c:pt>
                <c:pt idx="24">
                  <c:v>1.0864905070296027E-2</c:v>
                </c:pt>
                <c:pt idx="25">
                  <c:v>1.0864905070296027E-2</c:v>
                </c:pt>
                <c:pt idx="26">
                  <c:v>1.0864905070296027E-2</c:v>
                </c:pt>
                <c:pt idx="27">
                  <c:v>1.0864905070296027E-2</c:v>
                </c:pt>
                <c:pt idx="28">
                  <c:v>1.0864905070296027E-2</c:v>
                </c:pt>
                <c:pt idx="29">
                  <c:v>1.0864905070296027E-2</c:v>
                </c:pt>
                <c:pt idx="30">
                  <c:v>1.0864905070296027E-2</c:v>
                </c:pt>
                <c:pt idx="31">
                  <c:v>1.0864905070296027E-2</c:v>
                </c:pt>
                <c:pt idx="32">
                  <c:v>1.0864905070296027E-2</c:v>
                </c:pt>
                <c:pt idx="33">
                  <c:v>1.0864905070296027E-2</c:v>
                </c:pt>
                <c:pt idx="34">
                  <c:v>1.0864905070296027E-2</c:v>
                </c:pt>
                <c:pt idx="35">
                  <c:v>1.0864905070296027E-2</c:v>
                </c:pt>
                <c:pt idx="36">
                  <c:v>1.0864905070296027E-2</c:v>
                </c:pt>
                <c:pt idx="37">
                  <c:v>1.0864905070296027E-2</c:v>
                </c:pt>
                <c:pt idx="38">
                  <c:v>1.0864905070296027E-2</c:v>
                </c:pt>
                <c:pt idx="39">
                  <c:v>1.0864905070296027E-2</c:v>
                </c:pt>
                <c:pt idx="40">
                  <c:v>1.0864905070296027E-2</c:v>
                </c:pt>
                <c:pt idx="41">
                  <c:v>1.0864905070296027E-2</c:v>
                </c:pt>
                <c:pt idx="42">
                  <c:v>1.0864905070296027E-2</c:v>
                </c:pt>
                <c:pt idx="43">
                  <c:v>1.0864905070296027E-2</c:v>
                </c:pt>
                <c:pt idx="44">
                  <c:v>1.0864905070296027E-2</c:v>
                </c:pt>
                <c:pt idx="45">
                  <c:v>1.0864905070296027E-2</c:v>
                </c:pt>
                <c:pt idx="46">
                  <c:v>1.0864905070296027E-2</c:v>
                </c:pt>
                <c:pt idx="47">
                  <c:v>1.0864905070296027E-2</c:v>
                </c:pt>
                <c:pt idx="48">
                  <c:v>1.0864905070296027E-2</c:v>
                </c:pt>
                <c:pt idx="49">
                  <c:v>1.0864905070296027E-2</c:v>
                </c:pt>
                <c:pt idx="50">
                  <c:v>1.0864905070296027E-2</c:v>
                </c:pt>
                <c:pt idx="51">
                  <c:v>1.0864905070296027E-2</c:v>
                </c:pt>
                <c:pt idx="52">
                  <c:v>1.0864905070296027E-2</c:v>
                </c:pt>
                <c:pt idx="53">
                  <c:v>1.0864905070296027E-2</c:v>
                </c:pt>
                <c:pt idx="54">
                  <c:v>1.0864905070296027E-2</c:v>
                </c:pt>
                <c:pt idx="55">
                  <c:v>1.0864905070296027E-2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5A-4F9E-B37F-345FFF7BC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799552"/>
        <c:axId val="181797632"/>
      </c:lineChart>
      <c:catAx>
        <c:axId val="18166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64384"/>
        <c:crosses val="autoZero"/>
        <c:auto val="1"/>
        <c:lblAlgn val="ctr"/>
        <c:lblOffset val="100"/>
        <c:noMultiLvlLbl val="0"/>
      </c:catAx>
      <c:valAx>
        <c:axId val="181664384"/>
        <c:scaling>
          <c:orientation val="minMax"/>
          <c:max val="7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$/Hr</a:t>
                </a:r>
              </a:p>
            </c:rich>
          </c:tx>
          <c:layout>
            <c:manualLayout>
              <c:xMode val="edge"/>
              <c:yMode val="edge"/>
              <c:x val="3.6253772602044002E-2"/>
              <c:y val="0.438867831938656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62848"/>
        <c:crosses val="autoZero"/>
        <c:crossBetween val="between"/>
      </c:valAx>
      <c:valAx>
        <c:axId val="181797632"/>
        <c:scaling>
          <c:orientation val="minMax"/>
          <c:max val="0.1"/>
          <c:min val="-2.0000000000000011E-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99552"/>
        <c:crosses val="max"/>
        <c:crossBetween val="between"/>
      </c:valAx>
      <c:catAx>
        <c:axId val="181799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179763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25" l="0.2" r="0.2" t="0.25" header="0.30000000000000021" footer="0.30000000000000021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</a:t>
            </a:r>
            <a:r>
              <a:rPr lang="en-US" baseline="0"/>
              <a:t> Monthly Productivity Measure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'PC$ - AAG'!$A$18</c:f>
              <c:strCache>
                <c:ptCount val="1"/>
                <c:pt idx="0">
                  <c:v>Monthly-Actual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'PC$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'PC$ - AAG'!$B$18:$Q$18</c:f>
              <c:numCache>
                <c:formatCode>_("$"* #,##0.00_);_("$"* \(#,##0.00\);_("$"* "-"??_);_(@_)</c:formatCode>
                <c:ptCount val="16"/>
                <c:pt idx="0">
                  <c:v>6.3203175072721001</c:v>
                </c:pt>
                <c:pt idx="1">
                  <c:v>6.2434958527210194</c:v>
                </c:pt>
                <c:pt idx="2">
                  <c:v>6.2478529714874611</c:v>
                </c:pt>
                <c:pt idx="3">
                  <c:v>6.2087113608992368</c:v>
                </c:pt>
                <c:pt idx="4">
                  <c:v>6.2015262420183772</c:v>
                </c:pt>
                <c:pt idx="5">
                  <c:v>6.2550491670511255</c:v>
                </c:pt>
                <c:pt idx="6">
                  <c:v>6.2803652916550954</c:v>
                </c:pt>
                <c:pt idx="7">
                  <c:v>6.3240875352291246</c:v>
                </c:pt>
                <c:pt idx="8">
                  <c:v>6.3694363307629001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7A-448E-B29B-D4ED7538E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814784"/>
        <c:axId val="181816320"/>
      </c:barChart>
      <c:lineChart>
        <c:grouping val="standard"/>
        <c:varyColors val="0"/>
        <c:ser>
          <c:idx val="2"/>
          <c:order val="2"/>
          <c:tx>
            <c:strRef>
              <c:f>'PC$ - AAG'!$A$20</c:f>
              <c:strCache>
                <c:ptCount val="1"/>
                <c:pt idx="0">
                  <c:v>Base 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'PC$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'PC$ - AAG'!$B$20:$Q$20</c:f>
              <c:numCache>
                <c:formatCode>_("$"* #,##0.00_);_("$"* \(#,##0.00\);_("$"* "-"??_);_(@_)</c:formatCode>
                <c:ptCount val="16"/>
                <c:pt idx="0">
                  <c:v>6.3</c:v>
                </c:pt>
                <c:pt idx="1">
                  <c:v>6.3</c:v>
                </c:pt>
                <c:pt idx="2">
                  <c:v>6.3</c:v>
                </c:pt>
                <c:pt idx="3">
                  <c:v>6.3</c:v>
                </c:pt>
                <c:pt idx="4">
                  <c:v>6.2456469002415327</c:v>
                </c:pt>
                <c:pt idx="5">
                  <c:v>6.2456469002415327</c:v>
                </c:pt>
                <c:pt idx="6">
                  <c:v>6.2456469002415327</c:v>
                </c:pt>
                <c:pt idx="7">
                  <c:v>6.2456469002415327</c:v>
                </c:pt>
                <c:pt idx="8">
                  <c:v>6.2456469002415327</c:v>
                </c:pt>
                <c:pt idx="9">
                  <c:v>6.2456469002415327</c:v>
                </c:pt>
                <c:pt idx="10">
                  <c:v>6.2456469002415327</c:v>
                </c:pt>
                <c:pt idx="11">
                  <c:v>6.2456469002415327</c:v>
                </c:pt>
                <c:pt idx="12">
                  <c:v>6.2456469002415327</c:v>
                </c:pt>
                <c:pt idx="13">
                  <c:v>6.2456469002415327</c:v>
                </c:pt>
                <c:pt idx="14">
                  <c:v>6.2456469002415327</c:v>
                </c:pt>
                <c:pt idx="15">
                  <c:v>6.2456469002415327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7A-448E-B29B-D4ED7538E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814784"/>
        <c:axId val="181816320"/>
      </c:lineChart>
      <c:lineChart>
        <c:grouping val="standard"/>
        <c:varyColors val="0"/>
        <c:ser>
          <c:idx val="1"/>
          <c:order val="1"/>
          <c:tx>
            <c:strRef>
              <c:f>'PC$ - AAG'!$A$19</c:f>
              <c:strCache>
                <c:ptCount val="1"/>
                <c:pt idx="0">
                  <c:v>YTD % improvement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'PC$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'PC$ - AAG'!$B$19:$Q$19</c:f>
              <c:numCache>
                <c:formatCode>0.0%</c:formatCode>
                <c:ptCount val="16"/>
                <c:pt idx="0">
                  <c:v>3.2250011543015766E-3</c:v>
                </c:pt>
                <c:pt idx="1">
                  <c:v>-2.8719555561016463E-3</c:v>
                </c:pt>
                <c:pt idx="2">
                  <c:v>-4.6737390751014907E-3</c:v>
                </c:pt>
                <c:pt idx="3">
                  <c:v>-7.1278693500071988E-3</c:v>
                </c:pt>
                <c:pt idx="4">
                  <c:v>-7.0642255202498783E-3</c:v>
                </c:pt>
                <c:pt idx="5">
                  <c:v>-1.2938063346848994E-3</c:v>
                </c:pt>
                <c:pt idx="6">
                  <c:v>1.1773799381686878E-4</c:v>
                </c:pt>
                <c:pt idx="7">
                  <c:v>1.0470902567227824E-3</c:v>
                </c:pt>
                <c:pt idx="8">
                  <c:v>1.7052847421652473E-3</c:v>
                </c:pt>
                <c:pt idx="9">
                  <c:v>2.1958866526914367E-3</c:v>
                </c:pt>
                <c:pt idx="10">
                  <c:v>3.43126726859877E-3</c:v>
                </c:pt>
                <c:pt idx="11">
                  <c:v>4.4034874260763246E-3</c:v>
                </c:pt>
                <c:pt idx="12">
                  <c:v>5.1885406261029665E-3</c:v>
                </c:pt>
                <c:pt idx="13">
                  <c:v>5.8357297638431671E-3</c:v>
                </c:pt>
                <c:pt idx="14">
                  <c:v>6.3784391982590893E-3</c:v>
                </c:pt>
                <c:pt idx="15">
                  <c:v>7.6739401448757683E-3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A-448E-B29B-D4ED7538E04E}"/>
            </c:ext>
          </c:extLst>
        </c:ser>
        <c:ser>
          <c:idx val="3"/>
          <c:order val="3"/>
          <c:tx>
            <c:strRef>
              <c:f>'PC$ - AAG'!$A$21</c:f>
              <c:strCache>
                <c:ptCount val="1"/>
                <c:pt idx="0">
                  <c:v>% improvement from Base Line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'PC$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'PC$ - AAG'!$B$21:$Q$21</c:f>
              <c:numCache>
                <c:formatCode>0.0%</c:formatCode>
                <c:ptCount val="16"/>
                <c:pt idx="0">
                  <c:v>3.2250011543015766E-3</c:v>
                </c:pt>
                <c:pt idx="1">
                  <c:v>-8.9689122665048693E-3</c:v>
                </c:pt>
                <c:pt idx="2">
                  <c:v>-8.2773061131014014E-3</c:v>
                </c:pt>
                <c:pt idx="3">
                  <c:v>-1.4490260174724323E-2</c:v>
                </c:pt>
                <c:pt idx="4">
                  <c:v>-7.0642255202498783E-3</c:v>
                </c:pt>
                <c:pt idx="5">
                  <c:v>1.5054112023573651E-3</c:v>
                </c:pt>
                <c:pt idx="6">
                  <c:v>5.5588143178924021E-3</c:v>
                </c:pt>
                <c:pt idx="7">
                  <c:v>1.2559249064265643E-2</c:v>
                </c:pt>
                <c:pt idx="8">
                  <c:v>1.9820113512433846E-2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7A-448E-B29B-D4ED7538E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828608"/>
        <c:axId val="181826688"/>
      </c:lineChart>
      <c:catAx>
        <c:axId val="18181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816320"/>
        <c:crosses val="autoZero"/>
        <c:auto val="1"/>
        <c:lblAlgn val="ctr"/>
        <c:lblOffset val="100"/>
        <c:noMultiLvlLbl val="0"/>
      </c:catAx>
      <c:valAx>
        <c:axId val="181816320"/>
        <c:scaling>
          <c:orientation val="minMax"/>
          <c:max val="7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$/hr</a:t>
                </a:r>
              </a:p>
            </c:rich>
          </c:tx>
          <c:layout>
            <c:manualLayout>
              <c:xMode val="edge"/>
              <c:yMode val="edge"/>
              <c:x val="0.11175485879582933"/>
              <c:y val="0.404386637021298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814784"/>
        <c:crosses val="autoZero"/>
        <c:crossBetween val="between"/>
      </c:valAx>
      <c:valAx>
        <c:axId val="181826688"/>
        <c:scaling>
          <c:orientation val="minMax"/>
          <c:max val="0.1"/>
          <c:min val="-5.0000000000000024E-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828608"/>
        <c:crosses val="max"/>
        <c:crossBetween val="between"/>
      </c:valAx>
      <c:catAx>
        <c:axId val="1818286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182668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25" l="0.2" r="0.2" t="0.25" header="0.30000000000000021" footer="0.30000000000000021"/>
    <c:pageSetup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 Weekly Productivity Measure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'PC$ - AAG'!$A$11</c:f>
              <c:strCache>
                <c:ptCount val="1"/>
                <c:pt idx="0">
                  <c:v>Weekly-Actual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'PC$ - AAG'!$B$10:$BE$10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'PC$ - AAG'!$B$11:$BE$11</c:f>
              <c:numCache>
                <c:formatCode>_("$"* #,##0.00_);_("$"* \(#,##0.00\);_("$"* "-"??_);_(@_)</c:formatCode>
                <c:ptCount val="56"/>
                <c:pt idx="0">
                  <c:v>6.3203175072721001</c:v>
                </c:pt>
                <c:pt idx="1">
                  <c:v>6.2434958527210194</c:v>
                </c:pt>
                <c:pt idx="2">
                  <c:v>6.2478529714874611</c:v>
                </c:pt>
                <c:pt idx="3">
                  <c:v>6.2087113608992368</c:v>
                </c:pt>
                <c:pt idx="4">
                  <c:v>6.2015262420183772</c:v>
                </c:pt>
                <c:pt idx="5">
                  <c:v>6.2015262420183772</c:v>
                </c:pt>
                <c:pt idx="6">
                  <c:v>6.2015262420183772</c:v>
                </c:pt>
                <c:pt idx="7">
                  <c:v>6.2015262420183772</c:v>
                </c:pt>
                <c:pt idx="8">
                  <c:v>6.2550491670511255</c:v>
                </c:pt>
                <c:pt idx="9">
                  <c:v>6.2550491670511255</c:v>
                </c:pt>
                <c:pt idx="10">
                  <c:v>6.2550491670511255</c:v>
                </c:pt>
                <c:pt idx="11">
                  <c:v>6.2550491670511255</c:v>
                </c:pt>
                <c:pt idx="12">
                  <c:v>6.2803652916550954</c:v>
                </c:pt>
                <c:pt idx="13">
                  <c:v>6.2803652916550954</c:v>
                </c:pt>
                <c:pt idx="14">
                  <c:v>6.2803652916550954</c:v>
                </c:pt>
                <c:pt idx="15">
                  <c:v>6.2803652916550954</c:v>
                </c:pt>
                <c:pt idx="16">
                  <c:v>6.3240875352291246</c:v>
                </c:pt>
                <c:pt idx="17">
                  <c:v>6.3240875352291246</c:v>
                </c:pt>
                <c:pt idx="18">
                  <c:v>6.3240875352291246</c:v>
                </c:pt>
                <c:pt idx="19">
                  <c:v>6.3240875352291246</c:v>
                </c:pt>
                <c:pt idx="20">
                  <c:v>6.3240875352291246</c:v>
                </c:pt>
                <c:pt idx="21">
                  <c:v>6.3580623373151086</c:v>
                </c:pt>
                <c:pt idx="22">
                  <c:v>6.36455678301206</c:v>
                </c:pt>
                <c:pt idx="23">
                  <c:v>6.3710645097840564</c:v>
                </c:pt>
                <c:pt idx="24">
                  <c:v>6.3841199698450888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A3-4CF0-BAE9-F8A142D7F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904896"/>
        <c:axId val="181906432"/>
      </c:barChart>
      <c:lineChart>
        <c:grouping val="standard"/>
        <c:varyColors val="0"/>
        <c:ser>
          <c:idx val="2"/>
          <c:order val="2"/>
          <c:tx>
            <c:strRef>
              <c:f>'PC$ - AAG'!$A$13</c:f>
              <c:strCache>
                <c:ptCount val="1"/>
                <c:pt idx="0">
                  <c:v>Base 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'PC$ - AAG'!$B$10:$BE$10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'PC$ - AAG'!$B$13:$BE$13</c:f>
              <c:numCache>
                <c:formatCode>_("$"* #,##0.00_);_("$"* \(#,##0.00\);_("$"* "-"??_);_(@_)</c:formatCode>
                <c:ptCount val="56"/>
                <c:pt idx="0">
                  <c:v>6.3</c:v>
                </c:pt>
                <c:pt idx="1">
                  <c:v>6.3</c:v>
                </c:pt>
                <c:pt idx="2">
                  <c:v>6.3</c:v>
                </c:pt>
                <c:pt idx="3">
                  <c:v>6.3</c:v>
                </c:pt>
                <c:pt idx="4">
                  <c:v>6.2456469002415327</c:v>
                </c:pt>
                <c:pt idx="5">
                  <c:v>6.2456469002415327</c:v>
                </c:pt>
                <c:pt idx="6">
                  <c:v>6.2456469002415327</c:v>
                </c:pt>
                <c:pt idx="7">
                  <c:v>6.2456469002415327</c:v>
                </c:pt>
                <c:pt idx="8">
                  <c:v>6.2456469002415327</c:v>
                </c:pt>
                <c:pt idx="9">
                  <c:v>6.2456469002415327</c:v>
                </c:pt>
                <c:pt idx="10">
                  <c:v>6.2456469002415327</c:v>
                </c:pt>
                <c:pt idx="11">
                  <c:v>6.2456469002415327</c:v>
                </c:pt>
                <c:pt idx="12">
                  <c:v>6.2456469002415327</c:v>
                </c:pt>
                <c:pt idx="13">
                  <c:v>6.2456469002415327</c:v>
                </c:pt>
                <c:pt idx="14">
                  <c:v>6.2456469002415327</c:v>
                </c:pt>
                <c:pt idx="15">
                  <c:v>6.2456469002415327</c:v>
                </c:pt>
                <c:pt idx="16">
                  <c:v>6.2456469002415327</c:v>
                </c:pt>
                <c:pt idx="17">
                  <c:v>6.2456469002415327</c:v>
                </c:pt>
                <c:pt idx="18">
                  <c:v>6.2456469002415327</c:v>
                </c:pt>
                <c:pt idx="19">
                  <c:v>6.2456469002415327</c:v>
                </c:pt>
                <c:pt idx="20">
                  <c:v>6.2456469002415327</c:v>
                </c:pt>
                <c:pt idx="21">
                  <c:v>6.2456469002415327</c:v>
                </c:pt>
                <c:pt idx="22">
                  <c:v>6.2456469002415327</c:v>
                </c:pt>
                <c:pt idx="23">
                  <c:v>6.2456469002415327</c:v>
                </c:pt>
                <c:pt idx="24">
                  <c:v>6.2456469002415327</c:v>
                </c:pt>
                <c:pt idx="25">
                  <c:v>6.2456469002415327</c:v>
                </c:pt>
                <c:pt idx="26">
                  <c:v>6.2456469002415327</c:v>
                </c:pt>
                <c:pt idx="27">
                  <c:v>6.2456469002415327</c:v>
                </c:pt>
                <c:pt idx="28">
                  <c:v>6.2456469002415327</c:v>
                </c:pt>
                <c:pt idx="29">
                  <c:v>6.2456469002415327</c:v>
                </c:pt>
                <c:pt idx="30">
                  <c:v>6.2456469002415327</c:v>
                </c:pt>
                <c:pt idx="31">
                  <c:v>6.2456469002415327</c:v>
                </c:pt>
                <c:pt idx="32">
                  <c:v>6.2456469002415327</c:v>
                </c:pt>
                <c:pt idx="33">
                  <c:v>6.2456469002415327</c:v>
                </c:pt>
                <c:pt idx="34">
                  <c:v>6.2456469002415327</c:v>
                </c:pt>
                <c:pt idx="35">
                  <c:v>6.2456469002415327</c:v>
                </c:pt>
                <c:pt idx="36">
                  <c:v>6.2456469002415327</c:v>
                </c:pt>
                <c:pt idx="37">
                  <c:v>6.2456469002415327</c:v>
                </c:pt>
                <c:pt idx="38">
                  <c:v>6.2456469002415327</c:v>
                </c:pt>
                <c:pt idx="39">
                  <c:v>6.2456469002415327</c:v>
                </c:pt>
                <c:pt idx="40">
                  <c:v>6.2456469002415327</c:v>
                </c:pt>
                <c:pt idx="41">
                  <c:v>6.2456469002415327</c:v>
                </c:pt>
                <c:pt idx="42">
                  <c:v>6.2456469002415327</c:v>
                </c:pt>
                <c:pt idx="43">
                  <c:v>6.2456469002415327</c:v>
                </c:pt>
                <c:pt idx="44">
                  <c:v>6.2456469002415327</c:v>
                </c:pt>
                <c:pt idx="45">
                  <c:v>6.2456469002415327</c:v>
                </c:pt>
                <c:pt idx="46">
                  <c:v>6.2456469002415327</c:v>
                </c:pt>
                <c:pt idx="47">
                  <c:v>6.2456469002415327</c:v>
                </c:pt>
                <c:pt idx="48">
                  <c:v>6.2456469002415327</c:v>
                </c:pt>
                <c:pt idx="49">
                  <c:v>6.2456469002415327</c:v>
                </c:pt>
                <c:pt idx="50">
                  <c:v>6.2456469002415327</c:v>
                </c:pt>
                <c:pt idx="51">
                  <c:v>6.2456469002415327</c:v>
                </c:pt>
                <c:pt idx="52">
                  <c:v>6.2456469002415327</c:v>
                </c:pt>
                <c:pt idx="53">
                  <c:v>6.2456469002415327</c:v>
                </c:pt>
                <c:pt idx="54">
                  <c:v>6.2456469002415327</c:v>
                </c:pt>
                <c:pt idx="55">
                  <c:v>6.2456469002415327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3-4CF0-BAE9-F8A142D7F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904896"/>
        <c:axId val="181906432"/>
      </c:lineChart>
      <c:lineChart>
        <c:grouping val="standard"/>
        <c:varyColors val="0"/>
        <c:ser>
          <c:idx val="1"/>
          <c:order val="1"/>
          <c:tx>
            <c:strRef>
              <c:f>'PC$ - AAG'!$A$12</c:f>
              <c:strCache>
                <c:ptCount val="1"/>
                <c:pt idx="0">
                  <c:v>YTD % improvement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'PC$ - AAG'!$B$10:$BE$10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'PC$ - AAG'!$B$12:$BE$12</c:f>
              <c:numCache>
                <c:formatCode>0.0%</c:formatCode>
                <c:ptCount val="56"/>
                <c:pt idx="0">
                  <c:v>3.2250011543015766E-3</c:v>
                </c:pt>
                <c:pt idx="1">
                  <c:v>-2.8719555561016463E-3</c:v>
                </c:pt>
                <c:pt idx="2">
                  <c:v>-4.6737390751014907E-3</c:v>
                </c:pt>
                <c:pt idx="3">
                  <c:v>-7.1278693500071988E-3</c:v>
                </c:pt>
                <c:pt idx="4" formatCode="0%">
                  <c:v>-7.0642255202498783E-3</c:v>
                </c:pt>
                <c:pt idx="5">
                  <c:v>-7.0642255202498783E-3</c:v>
                </c:pt>
                <c:pt idx="6">
                  <c:v>-7.0642255202498783E-3</c:v>
                </c:pt>
                <c:pt idx="7">
                  <c:v>-7.0642255202498783E-3</c:v>
                </c:pt>
                <c:pt idx="8">
                  <c:v>-4.1497708195135097E-3</c:v>
                </c:pt>
                <c:pt idx="9">
                  <c:v>-2.7145879025907149E-3</c:v>
                </c:pt>
                <c:pt idx="10">
                  <c:v>-1.8604047008611291E-3</c:v>
                </c:pt>
                <c:pt idx="11">
                  <c:v>-1.2938063346848994E-3</c:v>
                </c:pt>
                <c:pt idx="12">
                  <c:v>1.1773799381686878E-4</c:v>
                </c:pt>
                <c:pt idx="13">
                  <c:v>1.0470902567227824E-3</c:v>
                </c:pt>
                <c:pt idx="14">
                  <c:v>1.7052847421652473E-3</c:v>
                </c:pt>
                <c:pt idx="15">
                  <c:v>2.1958866526914367E-3</c:v>
                </c:pt>
                <c:pt idx="16">
                  <c:v>3.43126726859877E-3</c:v>
                </c:pt>
                <c:pt idx="17">
                  <c:v>4.4034874260763246E-3</c:v>
                </c:pt>
                <c:pt idx="18">
                  <c:v>5.1885406261029665E-3</c:v>
                </c:pt>
                <c:pt idx="19">
                  <c:v>5.8357297638431671E-3</c:v>
                </c:pt>
                <c:pt idx="20">
                  <c:v>6.3784391982590893E-3</c:v>
                </c:pt>
                <c:pt idx="21">
                  <c:v>7.6739401448757683E-3</c:v>
                </c:pt>
                <c:pt idx="22">
                  <c:v>8.8128101668791814E-3</c:v>
                </c:pt>
                <c:pt idx="23">
                  <c:v>9.8381699732430494E-3</c:v>
                </c:pt>
                <c:pt idx="24">
                  <c:v>1.0864905070296027E-2</c:v>
                </c:pt>
                <c:pt idx="25">
                  <c:v>1.0864905070296027E-2</c:v>
                </c:pt>
                <c:pt idx="26">
                  <c:v>1.0864905070296027E-2</c:v>
                </c:pt>
                <c:pt idx="27">
                  <c:v>1.0864905070296027E-2</c:v>
                </c:pt>
                <c:pt idx="28">
                  <c:v>1.0864905070296027E-2</c:v>
                </c:pt>
                <c:pt idx="29">
                  <c:v>1.0864905070296027E-2</c:v>
                </c:pt>
                <c:pt idx="30">
                  <c:v>1.0864905070296027E-2</c:v>
                </c:pt>
                <c:pt idx="31">
                  <c:v>1.0864905070296027E-2</c:v>
                </c:pt>
                <c:pt idx="32">
                  <c:v>1.0864905070296027E-2</c:v>
                </c:pt>
                <c:pt idx="33">
                  <c:v>1.0864905070296027E-2</c:v>
                </c:pt>
                <c:pt idx="34">
                  <c:v>1.0864905070296027E-2</c:v>
                </c:pt>
                <c:pt idx="35">
                  <c:v>1.0864905070296027E-2</c:v>
                </c:pt>
                <c:pt idx="36">
                  <c:v>1.0864905070296027E-2</c:v>
                </c:pt>
                <c:pt idx="37">
                  <c:v>1.0864905070296027E-2</c:v>
                </c:pt>
                <c:pt idx="38">
                  <c:v>1.0864905070296027E-2</c:v>
                </c:pt>
                <c:pt idx="39">
                  <c:v>1.0864905070296027E-2</c:v>
                </c:pt>
                <c:pt idx="40">
                  <c:v>1.0864905070296027E-2</c:v>
                </c:pt>
                <c:pt idx="41">
                  <c:v>1.0864905070296027E-2</c:v>
                </c:pt>
                <c:pt idx="42">
                  <c:v>1.0864905070296027E-2</c:v>
                </c:pt>
                <c:pt idx="43">
                  <c:v>1.0864905070296027E-2</c:v>
                </c:pt>
                <c:pt idx="44">
                  <c:v>1.0864905070296027E-2</c:v>
                </c:pt>
                <c:pt idx="45">
                  <c:v>1.0864905070296027E-2</c:v>
                </c:pt>
                <c:pt idx="46">
                  <c:v>1.0864905070296027E-2</c:v>
                </c:pt>
                <c:pt idx="47">
                  <c:v>1.0864905070296027E-2</c:v>
                </c:pt>
                <c:pt idx="48">
                  <c:v>1.0864905070296027E-2</c:v>
                </c:pt>
                <c:pt idx="49">
                  <c:v>1.0864905070296027E-2</c:v>
                </c:pt>
                <c:pt idx="50">
                  <c:v>1.0864905070296027E-2</c:v>
                </c:pt>
                <c:pt idx="51">
                  <c:v>1.0864905070296027E-2</c:v>
                </c:pt>
                <c:pt idx="52">
                  <c:v>1.0864905070296027E-2</c:v>
                </c:pt>
                <c:pt idx="53">
                  <c:v>1.0864905070296027E-2</c:v>
                </c:pt>
                <c:pt idx="54">
                  <c:v>1.0864905070296027E-2</c:v>
                </c:pt>
                <c:pt idx="55">
                  <c:v>1.0864905070296027E-2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A3-4CF0-BAE9-F8A142D7F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914624"/>
        <c:axId val="181912704"/>
      </c:lineChart>
      <c:catAx>
        <c:axId val="18190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906432"/>
        <c:crosses val="autoZero"/>
        <c:auto val="1"/>
        <c:lblAlgn val="ctr"/>
        <c:lblOffset val="100"/>
        <c:noMultiLvlLbl val="0"/>
      </c:catAx>
      <c:valAx>
        <c:axId val="181906432"/>
        <c:scaling>
          <c:orientation val="minMax"/>
          <c:max val="7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$/Hr</a:t>
                </a:r>
              </a:p>
            </c:rich>
          </c:tx>
          <c:layout>
            <c:manualLayout>
              <c:xMode val="edge"/>
              <c:yMode val="edge"/>
              <c:x val="3.6253772602044002E-2"/>
              <c:y val="0.438867831938656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904896"/>
        <c:crosses val="autoZero"/>
        <c:crossBetween val="between"/>
      </c:valAx>
      <c:valAx>
        <c:axId val="181912704"/>
        <c:scaling>
          <c:orientation val="minMax"/>
          <c:max val="0.1"/>
          <c:min val="-2.0000000000000011E-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914624"/>
        <c:crosses val="max"/>
        <c:crossBetween val="between"/>
      </c:valAx>
      <c:catAx>
        <c:axId val="181914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191270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25" l="0.2" r="0.2" t="0.25" header="0.30000000000000021" footer="0.30000000000000021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</a:t>
            </a:r>
            <a:r>
              <a:rPr lang="en-US" baseline="0"/>
              <a:t> Monthly Productivity Measure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'PC$ - AAG'!$A$18</c:f>
              <c:strCache>
                <c:ptCount val="1"/>
                <c:pt idx="0">
                  <c:v>Monthly-Actual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'PC$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'PC$ - AAG'!$B$18:$Q$18</c:f>
              <c:numCache>
                <c:formatCode>_("$"* #,##0.00_);_("$"* \(#,##0.00\);_("$"* "-"??_);_(@_)</c:formatCode>
                <c:ptCount val="16"/>
                <c:pt idx="0">
                  <c:v>6.3203175072721001</c:v>
                </c:pt>
                <c:pt idx="1">
                  <c:v>6.2434958527210194</c:v>
                </c:pt>
                <c:pt idx="2">
                  <c:v>6.2478529714874611</c:v>
                </c:pt>
                <c:pt idx="3">
                  <c:v>6.2087113608992368</c:v>
                </c:pt>
                <c:pt idx="4">
                  <c:v>6.2015262420183772</c:v>
                </c:pt>
                <c:pt idx="5">
                  <c:v>6.2550491670511255</c:v>
                </c:pt>
                <c:pt idx="6">
                  <c:v>6.2803652916550954</c:v>
                </c:pt>
                <c:pt idx="7">
                  <c:v>6.3240875352291246</c:v>
                </c:pt>
                <c:pt idx="8">
                  <c:v>6.3694363307629001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11-4F57-88C5-EA24DEF51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269824"/>
        <c:axId val="182271360"/>
      </c:barChart>
      <c:lineChart>
        <c:grouping val="standard"/>
        <c:varyColors val="0"/>
        <c:ser>
          <c:idx val="2"/>
          <c:order val="2"/>
          <c:tx>
            <c:strRef>
              <c:f>'PC$ - AAG'!$A$20</c:f>
              <c:strCache>
                <c:ptCount val="1"/>
                <c:pt idx="0">
                  <c:v>Base 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'PC$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'PC$ - AAG'!$B$20:$Q$20</c:f>
              <c:numCache>
                <c:formatCode>_("$"* #,##0.00_);_("$"* \(#,##0.00\);_("$"* "-"??_);_(@_)</c:formatCode>
                <c:ptCount val="16"/>
                <c:pt idx="0">
                  <c:v>6.3</c:v>
                </c:pt>
                <c:pt idx="1">
                  <c:v>6.3</c:v>
                </c:pt>
                <c:pt idx="2">
                  <c:v>6.3</c:v>
                </c:pt>
                <c:pt idx="3">
                  <c:v>6.3</c:v>
                </c:pt>
                <c:pt idx="4">
                  <c:v>6.2456469002415327</c:v>
                </c:pt>
                <c:pt idx="5">
                  <c:v>6.2456469002415327</c:v>
                </c:pt>
                <c:pt idx="6">
                  <c:v>6.2456469002415327</c:v>
                </c:pt>
                <c:pt idx="7">
                  <c:v>6.2456469002415327</c:v>
                </c:pt>
                <c:pt idx="8">
                  <c:v>6.2456469002415327</c:v>
                </c:pt>
                <c:pt idx="9">
                  <c:v>6.2456469002415327</c:v>
                </c:pt>
                <c:pt idx="10">
                  <c:v>6.2456469002415327</c:v>
                </c:pt>
                <c:pt idx="11">
                  <c:v>6.2456469002415327</c:v>
                </c:pt>
                <c:pt idx="12">
                  <c:v>6.2456469002415327</c:v>
                </c:pt>
                <c:pt idx="13">
                  <c:v>6.2456469002415327</c:v>
                </c:pt>
                <c:pt idx="14">
                  <c:v>6.2456469002415327</c:v>
                </c:pt>
                <c:pt idx="15">
                  <c:v>6.2456469002415327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1-4F57-88C5-EA24DEF51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269824"/>
        <c:axId val="182271360"/>
      </c:lineChart>
      <c:lineChart>
        <c:grouping val="standard"/>
        <c:varyColors val="0"/>
        <c:ser>
          <c:idx val="1"/>
          <c:order val="1"/>
          <c:tx>
            <c:strRef>
              <c:f>'PC$ - AAG'!$A$19</c:f>
              <c:strCache>
                <c:ptCount val="1"/>
                <c:pt idx="0">
                  <c:v>YTD % improvement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'PC$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'PC$ - AAG'!$B$19:$Q$19</c:f>
              <c:numCache>
                <c:formatCode>0.0%</c:formatCode>
                <c:ptCount val="16"/>
                <c:pt idx="0">
                  <c:v>3.2250011543015766E-3</c:v>
                </c:pt>
                <c:pt idx="1">
                  <c:v>-2.8719555561016463E-3</c:v>
                </c:pt>
                <c:pt idx="2">
                  <c:v>-4.6737390751014907E-3</c:v>
                </c:pt>
                <c:pt idx="3">
                  <c:v>-7.1278693500071988E-3</c:v>
                </c:pt>
                <c:pt idx="4">
                  <c:v>-7.0642255202498783E-3</c:v>
                </c:pt>
                <c:pt idx="5">
                  <c:v>-1.2938063346848994E-3</c:v>
                </c:pt>
                <c:pt idx="6">
                  <c:v>1.1773799381686878E-4</c:v>
                </c:pt>
                <c:pt idx="7">
                  <c:v>1.0470902567227824E-3</c:v>
                </c:pt>
                <c:pt idx="8">
                  <c:v>1.7052847421652473E-3</c:v>
                </c:pt>
                <c:pt idx="9">
                  <c:v>2.1958866526914367E-3</c:v>
                </c:pt>
                <c:pt idx="10">
                  <c:v>3.43126726859877E-3</c:v>
                </c:pt>
                <c:pt idx="11">
                  <c:v>4.4034874260763246E-3</c:v>
                </c:pt>
                <c:pt idx="12">
                  <c:v>5.1885406261029665E-3</c:v>
                </c:pt>
                <c:pt idx="13">
                  <c:v>5.8357297638431671E-3</c:v>
                </c:pt>
                <c:pt idx="14">
                  <c:v>6.3784391982590893E-3</c:v>
                </c:pt>
                <c:pt idx="15">
                  <c:v>7.6739401448757683E-3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1-4F57-88C5-EA24DEF5140F}"/>
            </c:ext>
          </c:extLst>
        </c:ser>
        <c:ser>
          <c:idx val="3"/>
          <c:order val="3"/>
          <c:tx>
            <c:strRef>
              <c:f>'PC$ - AAG'!$A$21</c:f>
              <c:strCache>
                <c:ptCount val="1"/>
                <c:pt idx="0">
                  <c:v>% improvement from Base Line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'PC$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'PC$ - AAG'!$B$21:$Q$21</c:f>
              <c:numCache>
                <c:formatCode>0.0%</c:formatCode>
                <c:ptCount val="16"/>
                <c:pt idx="0">
                  <c:v>3.2250011543015766E-3</c:v>
                </c:pt>
                <c:pt idx="1">
                  <c:v>-8.9689122665048693E-3</c:v>
                </c:pt>
                <c:pt idx="2">
                  <c:v>-8.2773061131014014E-3</c:v>
                </c:pt>
                <c:pt idx="3">
                  <c:v>-1.4490260174724323E-2</c:v>
                </c:pt>
                <c:pt idx="4">
                  <c:v>-7.0642255202498783E-3</c:v>
                </c:pt>
                <c:pt idx="5">
                  <c:v>1.5054112023573651E-3</c:v>
                </c:pt>
                <c:pt idx="6">
                  <c:v>5.5588143178924021E-3</c:v>
                </c:pt>
                <c:pt idx="7">
                  <c:v>1.2559249064265643E-2</c:v>
                </c:pt>
                <c:pt idx="8">
                  <c:v>1.9820113512433846E-2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11-4F57-88C5-EA24DEF51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279552"/>
        <c:axId val="182277632"/>
      </c:lineChart>
      <c:catAx>
        <c:axId val="18226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71360"/>
        <c:crosses val="autoZero"/>
        <c:auto val="1"/>
        <c:lblAlgn val="ctr"/>
        <c:lblOffset val="100"/>
        <c:noMultiLvlLbl val="0"/>
      </c:catAx>
      <c:valAx>
        <c:axId val="182271360"/>
        <c:scaling>
          <c:orientation val="minMax"/>
          <c:max val="7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$/hr</a:t>
                </a:r>
              </a:p>
            </c:rich>
          </c:tx>
          <c:layout>
            <c:manualLayout>
              <c:xMode val="edge"/>
              <c:yMode val="edge"/>
              <c:x val="0.11175485879582933"/>
              <c:y val="0.404386637021298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69824"/>
        <c:crosses val="autoZero"/>
        <c:crossBetween val="between"/>
      </c:valAx>
      <c:valAx>
        <c:axId val="182277632"/>
        <c:scaling>
          <c:orientation val="minMax"/>
          <c:max val="0.1"/>
          <c:min val="-5.0000000000000024E-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79552"/>
        <c:crosses val="max"/>
        <c:crossBetween val="between"/>
      </c:valAx>
      <c:catAx>
        <c:axId val="182279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27763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25" l="0.2" r="0.2" t="0.25" header="0.30000000000000021" footer="0.30000000000000021"/>
    <c:pageSetup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 Weekly Productivity Measure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'PC$ - AAG'!$A$11</c:f>
              <c:strCache>
                <c:ptCount val="1"/>
                <c:pt idx="0">
                  <c:v>Weekly-Actual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'PC$ - AAG'!$B$10:$BE$10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'PC$ - AAG'!$B$11:$BE$11</c:f>
              <c:numCache>
                <c:formatCode>_("$"* #,##0.00_);_("$"* \(#,##0.00\);_("$"* "-"??_);_(@_)</c:formatCode>
                <c:ptCount val="56"/>
                <c:pt idx="0">
                  <c:v>6.3203175072721001</c:v>
                </c:pt>
                <c:pt idx="1">
                  <c:v>6.2434958527210194</c:v>
                </c:pt>
                <c:pt idx="2">
                  <c:v>6.2478529714874611</c:v>
                </c:pt>
                <c:pt idx="3">
                  <c:v>6.2087113608992368</c:v>
                </c:pt>
                <c:pt idx="4">
                  <c:v>6.2015262420183772</c:v>
                </c:pt>
                <c:pt idx="5">
                  <c:v>6.2015262420183772</c:v>
                </c:pt>
                <c:pt idx="6">
                  <c:v>6.2015262420183772</c:v>
                </c:pt>
                <c:pt idx="7">
                  <c:v>6.2015262420183772</c:v>
                </c:pt>
                <c:pt idx="8">
                  <c:v>6.2550491670511255</c:v>
                </c:pt>
                <c:pt idx="9">
                  <c:v>6.2550491670511255</c:v>
                </c:pt>
                <c:pt idx="10">
                  <c:v>6.2550491670511255</c:v>
                </c:pt>
                <c:pt idx="11">
                  <c:v>6.2550491670511255</c:v>
                </c:pt>
                <c:pt idx="12">
                  <c:v>6.2803652916550954</c:v>
                </c:pt>
                <c:pt idx="13">
                  <c:v>6.2803652916550954</c:v>
                </c:pt>
                <c:pt idx="14">
                  <c:v>6.2803652916550954</c:v>
                </c:pt>
                <c:pt idx="15">
                  <c:v>6.2803652916550954</c:v>
                </c:pt>
                <c:pt idx="16">
                  <c:v>6.3240875352291246</c:v>
                </c:pt>
                <c:pt idx="17">
                  <c:v>6.3240875352291246</c:v>
                </c:pt>
                <c:pt idx="18">
                  <c:v>6.3240875352291246</c:v>
                </c:pt>
                <c:pt idx="19">
                  <c:v>6.3240875352291246</c:v>
                </c:pt>
                <c:pt idx="20">
                  <c:v>6.3240875352291246</c:v>
                </c:pt>
                <c:pt idx="21">
                  <c:v>6.3580623373151086</c:v>
                </c:pt>
                <c:pt idx="22">
                  <c:v>6.36455678301206</c:v>
                </c:pt>
                <c:pt idx="23">
                  <c:v>6.3710645097840564</c:v>
                </c:pt>
                <c:pt idx="24">
                  <c:v>6.3841199698450888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F-4604-8EAD-CB365E433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314496"/>
        <c:axId val="182316032"/>
      </c:barChart>
      <c:lineChart>
        <c:grouping val="standard"/>
        <c:varyColors val="0"/>
        <c:ser>
          <c:idx val="2"/>
          <c:order val="2"/>
          <c:tx>
            <c:strRef>
              <c:f>'PC$ - AAG'!$A$13</c:f>
              <c:strCache>
                <c:ptCount val="1"/>
                <c:pt idx="0">
                  <c:v>Base 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'PC$ - AAG'!$B$10:$BE$10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'PC$ - AAG'!$B$13:$BE$13</c:f>
              <c:numCache>
                <c:formatCode>_("$"* #,##0.00_);_("$"* \(#,##0.00\);_("$"* "-"??_);_(@_)</c:formatCode>
                <c:ptCount val="56"/>
                <c:pt idx="0">
                  <c:v>6.3</c:v>
                </c:pt>
                <c:pt idx="1">
                  <c:v>6.3</c:v>
                </c:pt>
                <c:pt idx="2">
                  <c:v>6.3</c:v>
                </c:pt>
                <c:pt idx="3">
                  <c:v>6.3</c:v>
                </c:pt>
                <c:pt idx="4">
                  <c:v>6.2456469002415327</c:v>
                </c:pt>
                <c:pt idx="5">
                  <c:v>6.2456469002415327</c:v>
                </c:pt>
                <c:pt idx="6">
                  <c:v>6.2456469002415327</c:v>
                </c:pt>
                <c:pt idx="7">
                  <c:v>6.2456469002415327</c:v>
                </c:pt>
                <c:pt idx="8">
                  <c:v>6.2456469002415327</c:v>
                </c:pt>
                <c:pt idx="9">
                  <c:v>6.2456469002415327</c:v>
                </c:pt>
                <c:pt idx="10">
                  <c:v>6.2456469002415327</c:v>
                </c:pt>
                <c:pt idx="11">
                  <c:v>6.2456469002415327</c:v>
                </c:pt>
                <c:pt idx="12">
                  <c:v>6.2456469002415327</c:v>
                </c:pt>
                <c:pt idx="13">
                  <c:v>6.2456469002415327</c:v>
                </c:pt>
                <c:pt idx="14">
                  <c:v>6.2456469002415327</c:v>
                </c:pt>
                <c:pt idx="15">
                  <c:v>6.2456469002415327</c:v>
                </c:pt>
                <c:pt idx="16">
                  <c:v>6.2456469002415327</c:v>
                </c:pt>
                <c:pt idx="17">
                  <c:v>6.2456469002415327</c:v>
                </c:pt>
                <c:pt idx="18">
                  <c:v>6.2456469002415327</c:v>
                </c:pt>
                <c:pt idx="19">
                  <c:v>6.2456469002415327</c:v>
                </c:pt>
                <c:pt idx="20">
                  <c:v>6.2456469002415327</c:v>
                </c:pt>
                <c:pt idx="21">
                  <c:v>6.2456469002415327</c:v>
                </c:pt>
                <c:pt idx="22">
                  <c:v>6.2456469002415327</c:v>
                </c:pt>
                <c:pt idx="23">
                  <c:v>6.2456469002415327</c:v>
                </c:pt>
                <c:pt idx="24">
                  <c:v>6.2456469002415327</c:v>
                </c:pt>
                <c:pt idx="25">
                  <c:v>6.2456469002415327</c:v>
                </c:pt>
                <c:pt idx="26">
                  <c:v>6.2456469002415327</c:v>
                </c:pt>
                <c:pt idx="27">
                  <c:v>6.2456469002415327</c:v>
                </c:pt>
                <c:pt idx="28">
                  <c:v>6.2456469002415327</c:v>
                </c:pt>
                <c:pt idx="29">
                  <c:v>6.2456469002415327</c:v>
                </c:pt>
                <c:pt idx="30">
                  <c:v>6.2456469002415327</c:v>
                </c:pt>
                <c:pt idx="31">
                  <c:v>6.2456469002415327</c:v>
                </c:pt>
                <c:pt idx="32">
                  <c:v>6.2456469002415327</c:v>
                </c:pt>
                <c:pt idx="33">
                  <c:v>6.2456469002415327</c:v>
                </c:pt>
                <c:pt idx="34">
                  <c:v>6.2456469002415327</c:v>
                </c:pt>
                <c:pt idx="35">
                  <c:v>6.2456469002415327</c:v>
                </c:pt>
                <c:pt idx="36">
                  <c:v>6.2456469002415327</c:v>
                </c:pt>
                <c:pt idx="37">
                  <c:v>6.2456469002415327</c:v>
                </c:pt>
                <c:pt idx="38">
                  <c:v>6.2456469002415327</c:v>
                </c:pt>
                <c:pt idx="39">
                  <c:v>6.2456469002415327</c:v>
                </c:pt>
                <c:pt idx="40">
                  <c:v>6.2456469002415327</c:v>
                </c:pt>
                <c:pt idx="41">
                  <c:v>6.2456469002415327</c:v>
                </c:pt>
                <c:pt idx="42">
                  <c:v>6.2456469002415327</c:v>
                </c:pt>
                <c:pt idx="43">
                  <c:v>6.2456469002415327</c:v>
                </c:pt>
                <c:pt idx="44">
                  <c:v>6.2456469002415327</c:v>
                </c:pt>
                <c:pt idx="45">
                  <c:v>6.2456469002415327</c:v>
                </c:pt>
                <c:pt idx="46">
                  <c:v>6.2456469002415327</c:v>
                </c:pt>
                <c:pt idx="47">
                  <c:v>6.2456469002415327</c:v>
                </c:pt>
                <c:pt idx="48">
                  <c:v>6.2456469002415327</c:v>
                </c:pt>
                <c:pt idx="49">
                  <c:v>6.2456469002415327</c:v>
                </c:pt>
                <c:pt idx="50">
                  <c:v>6.2456469002415327</c:v>
                </c:pt>
                <c:pt idx="51">
                  <c:v>6.2456469002415327</c:v>
                </c:pt>
                <c:pt idx="52">
                  <c:v>6.2456469002415327</c:v>
                </c:pt>
                <c:pt idx="53">
                  <c:v>6.2456469002415327</c:v>
                </c:pt>
                <c:pt idx="54">
                  <c:v>6.2456469002415327</c:v>
                </c:pt>
                <c:pt idx="55">
                  <c:v>6.2456469002415327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FF-4604-8EAD-CB365E433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314496"/>
        <c:axId val="182316032"/>
      </c:lineChart>
      <c:lineChart>
        <c:grouping val="standard"/>
        <c:varyColors val="0"/>
        <c:ser>
          <c:idx val="1"/>
          <c:order val="1"/>
          <c:tx>
            <c:strRef>
              <c:f>'PC$ - AAG'!$A$12</c:f>
              <c:strCache>
                <c:ptCount val="1"/>
                <c:pt idx="0">
                  <c:v>YTD % improvement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'PC$ - AAG'!$B$10:$BE$10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'PC$ - AAG'!$B$12:$BE$12</c:f>
              <c:numCache>
                <c:formatCode>0.0%</c:formatCode>
                <c:ptCount val="56"/>
                <c:pt idx="0">
                  <c:v>3.2250011543015766E-3</c:v>
                </c:pt>
                <c:pt idx="1">
                  <c:v>-2.8719555561016463E-3</c:v>
                </c:pt>
                <c:pt idx="2">
                  <c:v>-4.6737390751014907E-3</c:v>
                </c:pt>
                <c:pt idx="3">
                  <c:v>-7.1278693500071988E-3</c:v>
                </c:pt>
                <c:pt idx="4" formatCode="0%">
                  <c:v>-7.0642255202498783E-3</c:v>
                </c:pt>
                <c:pt idx="5">
                  <c:v>-7.0642255202498783E-3</c:v>
                </c:pt>
                <c:pt idx="6">
                  <c:v>-7.0642255202498783E-3</c:v>
                </c:pt>
                <c:pt idx="7">
                  <c:v>-7.0642255202498783E-3</c:v>
                </c:pt>
                <c:pt idx="8">
                  <c:v>-4.1497708195135097E-3</c:v>
                </c:pt>
                <c:pt idx="9">
                  <c:v>-2.7145879025907149E-3</c:v>
                </c:pt>
                <c:pt idx="10">
                  <c:v>-1.8604047008611291E-3</c:v>
                </c:pt>
                <c:pt idx="11">
                  <c:v>-1.2938063346848994E-3</c:v>
                </c:pt>
                <c:pt idx="12">
                  <c:v>1.1773799381686878E-4</c:v>
                </c:pt>
                <c:pt idx="13">
                  <c:v>1.0470902567227824E-3</c:v>
                </c:pt>
                <c:pt idx="14">
                  <c:v>1.7052847421652473E-3</c:v>
                </c:pt>
                <c:pt idx="15">
                  <c:v>2.1958866526914367E-3</c:v>
                </c:pt>
                <c:pt idx="16">
                  <c:v>3.43126726859877E-3</c:v>
                </c:pt>
                <c:pt idx="17">
                  <c:v>4.4034874260763246E-3</c:v>
                </c:pt>
                <c:pt idx="18">
                  <c:v>5.1885406261029665E-3</c:v>
                </c:pt>
                <c:pt idx="19">
                  <c:v>5.8357297638431671E-3</c:v>
                </c:pt>
                <c:pt idx="20">
                  <c:v>6.3784391982590893E-3</c:v>
                </c:pt>
                <c:pt idx="21">
                  <c:v>7.6739401448757683E-3</c:v>
                </c:pt>
                <c:pt idx="22">
                  <c:v>8.8128101668791814E-3</c:v>
                </c:pt>
                <c:pt idx="23">
                  <c:v>9.8381699732430494E-3</c:v>
                </c:pt>
                <c:pt idx="24">
                  <c:v>1.0864905070296027E-2</c:v>
                </c:pt>
                <c:pt idx="25">
                  <c:v>1.0864905070296027E-2</c:v>
                </c:pt>
                <c:pt idx="26">
                  <c:v>1.0864905070296027E-2</c:v>
                </c:pt>
                <c:pt idx="27">
                  <c:v>1.0864905070296027E-2</c:v>
                </c:pt>
                <c:pt idx="28">
                  <c:v>1.0864905070296027E-2</c:v>
                </c:pt>
                <c:pt idx="29">
                  <c:v>1.0864905070296027E-2</c:v>
                </c:pt>
                <c:pt idx="30">
                  <c:v>1.0864905070296027E-2</c:v>
                </c:pt>
                <c:pt idx="31">
                  <c:v>1.0864905070296027E-2</c:v>
                </c:pt>
                <c:pt idx="32">
                  <c:v>1.0864905070296027E-2</c:v>
                </c:pt>
                <c:pt idx="33">
                  <c:v>1.0864905070296027E-2</c:v>
                </c:pt>
                <c:pt idx="34">
                  <c:v>1.0864905070296027E-2</c:v>
                </c:pt>
                <c:pt idx="35">
                  <c:v>1.0864905070296027E-2</c:v>
                </c:pt>
                <c:pt idx="36">
                  <c:v>1.0864905070296027E-2</c:v>
                </c:pt>
                <c:pt idx="37">
                  <c:v>1.0864905070296027E-2</c:v>
                </c:pt>
                <c:pt idx="38">
                  <c:v>1.0864905070296027E-2</c:v>
                </c:pt>
                <c:pt idx="39">
                  <c:v>1.0864905070296027E-2</c:v>
                </c:pt>
                <c:pt idx="40">
                  <c:v>1.0864905070296027E-2</c:v>
                </c:pt>
                <c:pt idx="41">
                  <c:v>1.0864905070296027E-2</c:v>
                </c:pt>
                <c:pt idx="42">
                  <c:v>1.0864905070296027E-2</c:v>
                </c:pt>
                <c:pt idx="43">
                  <c:v>1.0864905070296027E-2</c:v>
                </c:pt>
                <c:pt idx="44">
                  <c:v>1.0864905070296027E-2</c:v>
                </c:pt>
                <c:pt idx="45">
                  <c:v>1.0864905070296027E-2</c:v>
                </c:pt>
                <c:pt idx="46">
                  <c:v>1.0864905070296027E-2</c:v>
                </c:pt>
                <c:pt idx="47">
                  <c:v>1.0864905070296027E-2</c:v>
                </c:pt>
                <c:pt idx="48">
                  <c:v>1.0864905070296027E-2</c:v>
                </c:pt>
                <c:pt idx="49">
                  <c:v>1.0864905070296027E-2</c:v>
                </c:pt>
                <c:pt idx="50">
                  <c:v>1.0864905070296027E-2</c:v>
                </c:pt>
                <c:pt idx="51">
                  <c:v>1.0864905070296027E-2</c:v>
                </c:pt>
                <c:pt idx="52">
                  <c:v>1.0864905070296027E-2</c:v>
                </c:pt>
                <c:pt idx="53">
                  <c:v>1.0864905070296027E-2</c:v>
                </c:pt>
                <c:pt idx="54">
                  <c:v>1.0864905070296027E-2</c:v>
                </c:pt>
                <c:pt idx="55">
                  <c:v>1.0864905070296027E-2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FF-4604-8EAD-CB365E433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324224"/>
        <c:axId val="182322304"/>
      </c:lineChart>
      <c:catAx>
        <c:axId val="1823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16032"/>
        <c:crosses val="autoZero"/>
        <c:auto val="1"/>
        <c:lblAlgn val="ctr"/>
        <c:lblOffset val="100"/>
        <c:noMultiLvlLbl val="0"/>
      </c:catAx>
      <c:valAx>
        <c:axId val="182316032"/>
        <c:scaling>
          <c:orientation val="minMax"/>
          <c:max val="7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$/Hr</a:t>
                </a:r>
              </a:p>
            </c:rich>
          </c:tx>
          <c:layout>
            <c:manualLayout>
              <c:xMode val="edge"/>
              <c:yMode val="edge"/>
              <c:x val="3.6253772602044002E-2"/>
              <c:y val="0.438867831938656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14496"/>
        <c:crosses val="autoZero"/>
        <c:crossBetween val="between"/>
      </c:valAx>
      <c:valAx>
        <c:axId val="182322304"/>
        <c:scaling>
          <c:orientation val="minMax"/>
          <c:max val="0.1"/>
          <c:min val="-2.0000000000000011E-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24224"/>
        <c:crosses val="max"/>
        <c:crossBetween val="between"/>
      </c:valAx>
      <c:catAx>
        <c:axId val="18232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32230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25" l="0.2" r="0.2" t="0.25" header="0.30000000000000021" footer="0.30000000000000021"/>
    <c:pageSetup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</a:t>
            </a:r>
            <a:r>
              <a:rPr lang="en-US" baseline="0"/>
              <a:t> Monthly Productivity Measure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'PC$ - AAG'!$A$18</c:f>
              <c:strCache>
                <c:ptCount val="1"/>
                <c:pt idx="0">
                  <c:v>Monthly-Actual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'PC$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'PC$ - AAG'!$B$18:$Q$18</c:f>
              <c:numCache>
                <c:formatCode>_("$"* #,##0.00_);_("$"* \(#,##0.00\);_("$"* "-"??_);_(@_)</c:formatCode>
                <c:ptCount val="16"/>
                <c:pt idx="0">
                  <c:v>6.3203175072721001</c:v>
                </c:pt>
                <c:pt idx="1">
                  <c:v>6.2434958527210194</c:v>
                </c:pt>
                <c:pt idx="2">
                  <c:v>6.2478529714874611</c:v>
                </c:pt>
                <c:pt idx="3">
                  <c:v>6.2087113608992368</c:v>
                </c:pt>
                <c:pt idx="4">
                  <c:v>6.2015262420183772</c:v>
                </c:pt>
                <c:pt idx="5">
                  <c:v>6.2550491670511255</c:v>
                </c:pt>
                <c:pt idx="6">
                  <c:v>6.2803652916550954</c:v>
                </c:pt>
                <c:pt idx="7">
                  <c:v>6.3240875352291246</c:v>
                </c:pt>
                <c:pt idx="8">
                  <c:v>6.3694363307629001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F2-43B7-AD35-357929FD2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339456"/>
        <c:axId val="182340992"/>
      </c:barChart>
      <c:lineChart>
        <c:grouping val="standard"/>
        <c:varyColors val="0"/>
        <c:ser>
          <c:idx val="2"/>
          <c:order val="2"/>
          <c:tx>
            <c:strRef>
              <c:f>'PC$ - AAG'!$A$20</c:f>
              <c:strCache>
                <c:ptCount val="1"/>
                <c:pt idx="0">
                  <c:v>Base 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'PC$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'PC$ - AAG'!$B$20:$Q$20</c:f>
              <c:numCache>
                <c:formatCode>_("$"* #,##0.00_);_("$"* \(#,##0.00\);_("$"* "-"??_);_(@_)</c:formatCode>
                <c:ptCount val="16"/>
                <c:pt idx="0">
                  <c:v>6.3</c:v>
                </c:pt>
                <c:pt idx="1">
                  <c:v>6.3</c:v>
                </c:pt>
                <c:pt idx="2">
                  <c:v>6.3</c:v>
                </c:pt>
                <c:pt idx="3">
                  <c:v>6.3</c:v>
                </c:pt>
                <c:pt idx="4">
                  <c:v>6.2456469002415327</c:v>
                </c:pt>
                <c:pt idx="5">
                  <c:v>6.2456469002415327</c:v>
                </c:pt>
                <c:pt idx="6">
                  <c:v>6.2456469002415327</c:v>
                </c:pt>
                <c:pt idx="7">
                  <c:v>6.2456469002415327</c:v>
                </c:pt>
                <c:pt idx="8">
                  <c:v>6.2456469002415327</c:v>
                </c:pt>
                <c:pt idx="9">
                  <c:v>6.2456469002415327</c:v>
                </c:pt>
                <c:pt idx="10">
                  <c:v>6.2456469002415327</c:v>
                </c:pt>
                <c:pt idx="11">
                  <c:v>6.2456469002415327</c:v>
                </c:pt>
                <c:pt idx="12">
                  <c:v>6.2456469002415327</c:v>
                </c:pt>
                <c:pt idx="13">
                  <c:v>6.2456469002415327</c:v>
                </c:pt>
                <c:pt idx="14">
                  <c:v>6.2456469002415327</c:v>
                </c:pt>
                <c:pt idx="15">
                  <c:v>6.2456469002415327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F2-43B7-AD35-357929FD2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339456"/>
        <c:axId val="182340992"/>
      </c:lineChart>
      <c:lineChart>
        <c:grouping val="standard"/>
        <c:varyColors val="0"/>
        <c:ser>
          <c:idx val="1"/>
          <c:order val="1"/>
          <c:tx>
            <c:strRef>
              <c:f>'PC$ - AAG'!$A$19</c:f>
              <c:strCache>
                <c:ptCount val="1"/>
                <c:pt idx="0">
                  <c:v>YTD % improvement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'PC$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'PC$ - AAG'!$B$19:$Q$19</c:f>
              <c:numCache>
                <c:formatCode>0.0%</c:formatCode>
                <c:ptCount val="16"/>
                <c:pt idx="0">
                  <c:v>3.2250011543015766E-3</c:v>
                </c:pt>
                <c:pt idx="1">
                  <c:v>-2.8719555561016463E-3</c:v>
                </c:pt>
                <c:pt idx="2">
                  <c:v>-4.6737390751014907E-3</c:v>
                </c:pt>
                <c:pt idx="3">
                  <c:v>-7.1278693500071988E-3</c:v>
                </c:pt>
                <c:pt idx="4">
                  <c:v>-7.0642255202498783E-3</c:v>
                </c:pt>
                <c:pt idx="5">
                  <c:v>-1.2938063346848994E-3</c:v>
                </c:pt>
                <c:pt idx="6">
                  <c:v>1.1773799381686878E-4</c:v>
                </c:pt>
                <c:pt idx="7">
                  <c:v>1.0470902567227824E-3</c:v>
                </c:pt>
                <c:pt idx="8">
                  <c:v>1.7052847421652473E-3</c:v>
                </c:pt>
                <c:pt idx="9">
                  <c:v>2.1958866526914367E-3</c:v>
                </c:pt>
                <c:pt idx="10">
                  <c:v>3.43126726859877E-3</c:v>
                </c:pt>
                <c:pt idx="11">
                  <c:v>4.4034874260763246E-3</c:v>
                </c:pt>
                <c:pt idx="12">
                  <c:v>5.1885406261029665E-3</c:v>
                </c:pt>
                <c:pt idx="13">
                  <c:v>5.8357297638431671E-3</c:v>
                </c:pt>
                <c:pt idx="14">
                  <c:v>6.3784391982590893E-3</c:v>
                </c:pt>
                <c:pt idx="15">
                  <c:v>7.6739401448757683E-3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F2-43B7-AD35-357929FD2B6F}"/>
            </c:ext>
          </c:extLst>
        </c:ser>
        <c:ser>
          <c:idx val="3"/>
          <c:order val="3"/>
          <c:tx>
            <c:strRef>
              <c:f>'PC$ - AAG'!$A$21</c:f>
              <c:strCache>
                <c:ptCount val="1"/>
                <c:pt idx="0">
                  <c:v>% improvement from Base Line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'PC$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'PC$ - AAG'!$B$21:$Q$21</c:f>
              <c:numCache>
                <c:formatCode>0.0%</c:formatCode>
                <c:ptCount val="16"/>
                <c:pt idx="0">
                  <c:v>3.2250011543015766E-3</c:v>
                </c:pt>
                <c:pt idx="1">
                  <c:v>-8.9689122665048693E-3</c:v>
                </c:pt>
                <c:pt idx="2">
                  <c:v>-8.2773061131014014E-3</c:v>
                </c:pt>
                <c:pt idx="3">
                  <c:v>-1.4490260174724323E-2</c:v>
                </c:pt>
                <c:pt idx="4">
                  <c:v>-7.0642255202498783E-3</c:v>
                </c:pt>
                <c:pt idx="5">
                  <c:v>1.5054112023573651E-3</c:v>
                </c:pt>
                <c:pt idx="6">
                  <c:v>5.5588143178924021E-3</c:v>
                </c:pt>
                <c:pt idx="7">
                  <c:v>1.2559249064265643E-2</c:v>
                </c:pt>
                <c:pt idx="8">
                  <c:v>1.9820113512433846E-2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F2-43B7-AD35-357929FD2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345088"/>
        <c:axId val="182343168"/>
      </c:lineChart>
      <c:catAx>
        <c:axId val="18233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40992"/>
        <c:crosses val="autoZero"/>
        <c:auto val="1"/>
        <c:lblAlgn val="ctr"/>
        <c:lblOffset val="100"/>
        <c:noMultiLvlLbl val="0"/>
      </c:catAx>
      <c:valAx>
        <c:axId val="182340992"/>
        <c:scaling>
          <c:orientation val="minMax"/>
          <c:max val="7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$/hr</a:t>
                </a:r>
              </a:p>
            </c:rich>
          </c:tx>
          <c:layout>
            <c:manualLayout>
              <c:xMode val="edge"/>
              <c:yMode val="edge"/>
              <c:x val="0.11175485879582933"/>
              <c:y val="0.404386637021298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39456"/>
        <c:crosses val="autoZero"/>
        <c:crossBetween val="between"/>
      </c:valAx>
      <c:valAx>
        <c:axId val="182343168"/>
        <c:scaling>
          <c:orientation val="minMax"/>
          <c:max val="0.1"/>
          <c:min val="-5.0000000000000024E-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345088"/>
        <c:crosses val="max"/>
        <c:crossBetween val="between"/>
      </c:valAx>
      <c:catAx>
        <c:axId val="182345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34316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25" l="0.2" r="0.2" t="0.25" header="0.30000000000000021" footer="0.30000000000000021"/>
    <c:pageSetup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 Weekly Productivity Measure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'PC$ - AAG'!$A$11</c:f>
              <c:strCache>
                <c:ptCount val="1"/>
                <c:pt idx="0">
                  <c:v>Weekly-Actual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'PC$ - AAG'!$B$10:$BE$10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'PC$ - AAG'!$B$11:$BE$11</c:f>
              <c:numCache>
                <c:formatCode>_("$"* #,##0.00_);_("$"* \(#,##0.00\);_("$"* "-"??_);_(@_)</c:formatCode>
                <c:ptCount val="56"/>
                <c:pt idx="0">
                  <c:v>6.3203175072721001</c:v>
                </c:pt>
                <c:pt idx="1">
                  <c:v>6.2434958527210194</c:v>
                </c:pt>
                <c:pt idx="2">
                  <c:v>6.2478529714874611</c:v>
                </c:pt>
                <c:pt idx="3">
                  <c:v>6.2087113608992368</c:v>
                </c:pt>
                <c:pt idx="4">
                  <c:v>6.2015262420183772</c:v>
                </c:pt>
                <c:pt idx="5">
                  <c:v>6.2015262420183772</c:v>
                </c:pt>
                <c:pt idx="6">
                  <c:v>6.2015262420183772</c:v>
                </c:pt>
                <c:pt idx="7">
                  <c:v>6.2015262420183772</c:v>
                </c:pt>
                <c:pt idx="8">
                  <c:v>6.2550491670511255</c:v>
                </c:pt>
                <c:pt idx="9">
                  <c:v>6.2550491670511255</c:v>
                </c:pt>
                <c:pt idx="10">
                  <c:v>6.2550491670511255</c:v>
                </c:pt>
                <c:pt idx="11">
                  <c:v>6.2550491670511255</c:v>
                </c:pt>
                <c:pt idx="12">
                  <c:v>6.2803652916550954</c:v>
                </c:pt>
                <c:pt idx="13">
                  <c:v>6.2803652916550954</c:v>
                </c:pt>
                <c:pt idx="14">
                  <c:v>6.2803652916550954</c:v>
                </c:pt>
                <c:pt idx="15">
                  <c:v>6.2803652916550954</c:v>
                </c:pt>
                <c:pt idx="16">
                  <c:v>6.3240875352291246</c:v>
                </c:pt>
                <c:pt idx="17">
                  <c:v>6.3240875352291246</c:v>
                </c:pt>
                <c:pt idx="18">
                  <c:v>6.3240875352291246</c:v>
                </c:pt>
                <c:pt idx="19">
                  <c:v>6.3240875352291246</c:v>
                </c:pt>
                <c:pt idx="20">
                  <c:v>6.3240875352291246</c:v>
                </c:pt>
                <c:pt idx="21">
                  <c:v>6.3580623373151086</c:v>
                </c:pt>
                <c:pt idx="22">
                  <c:v>6.36455678301206</c:v>
                </c:pt>
                <c:pt idx="23">
                  <c:v>6.3710645097840564</c:v>
                </c:pt>
                <c:pt idx="24">
                  <c:v>6.3841199698450888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A-40F1-895C-A2D27CAB9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818304"/>
        <c:axId val="182819840"/>
      </c:barChart>
      <c:lineChart>
        <c:grouping val="standard"/>
        <c:varyColors val="0"/>
        <c:ser>
          <c:idx val="2"/>
          <c:order val="2"/>
          <c:tx>
            <c:strRef>
              <c:f>'PC$ - AAG'!$A$13</c:f>
              <c:strCache>
                <c:ptCount val="1"/>
                <c:pt idx="0">
                  <c:v>Base 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'PC$ - AAG'!$B$10:$BE$10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'PC$ - AAG'!$B$13:$BE$13</c:f>
              <c:numCache>
                <c:formatCode>_("$"* #,##0.00_);_("$"* \(#,##0.00\);_("$"* "-"??_);_(@_)</c:formatCode>
                <c:ptCount val="56"/>
                <c:pt idx="0">
                  <c:v>6.3</c:v>
                </c:pt>
                <c:pt idx="1">
                  <c:v>6.3</c:v>
                </c:pt>
                <c:pt idx="2">
                  <c:v>6.3</c:v>
                </c:pt>
                <c:pt idx="3">
                  <c:v>6.3</c:v>
                </c:pt>
                <c:pt idx="4">
                  <c:v>6.2456469002415327</c:v>
                </c:pt>
                <c:pt idx="5">
                  <c:v>6.2456469002415327</c:v>
                </c:pt>
                <c:pt idx="6">
                  <c:v>6.2456469002415327</c:v>
                </c:pt>
                <c:pt idx="7">
                  <c:v>6.2456469002415327</c:v>
                </c:pt>
                <c:pt idx="8">
                  <c:v>6.2456469002415327</c:v>
                </c:pt>
                <c:pt idx="9">
                  <c:v>6.2456469002415327</c:v>
                </c:pt>
                <c:pt idx="10">
                  <c:v>6.2456469002415327</c:v>
                </c:pt>
                <c:pt idx="11">
                  <c:v>6.2456469002415327</c:v>
                </c:pt>
                <c:pt idx="12">
                  <c:v>6.2456469002415327</c:v>
                </c:pt>
                <c:pt idx="13">
                  <c:v>6.2456469002415327</c:v>
                </c:pt>
                <c:pt idx="14">
                  <c:v>6.2456469002415327</c:v>
                </c:pt>
                <c:pt idx="15">
                  <c:v>6.2456469002415327</c:v>
                </c:pt>
                <c:pt idx="16">
                  <c:v>6.2456469002415327</c:v>
                </c:pt>
                <c:pt idx="17">
                  <c:v>6.2456469002415327</c:v>
                </c:pt>
                <c:pt idx="18">
                  <c:v>6.2456469002415327</c:v>
                </c:pt>
                <c:pt idx="19">
                  <c:v>6.2456469002415327</c:v>
                </c:pt>
                <c:pt idx="20">
                  <c:v>6.2456469002415327</c:v>
                </c:pt>
                <c:pt idx="21">
                  <c:v>6.2456469002415327</c:v>
                </c:pt>
                <c:pt idx="22">
                  <c:v>6.2456469002415327</c:v>
                </c:pt>
                <c:pt idx="23">
                  <c:v>6.2456469002415327</c:v>
                </c:pt>
                <c:pt idx="24">
                  <c:v>6.2456469002415327</c:v>
                </c:pt>
                <c:pt idx="25">
                  <c:v>6.2456469002415327</c:v>
                </c:pt>
                <c:pt idx="26">
                  <c:v>6.2456469002415327</c:v>
                </c:pt>
                <c:pt idx="27">
                  <c:v>6.2456469002415327</c:v>
                </c:pt>
                <c:pt idx="28">
                  <c:v>6.2456469002415327</c:v>
                </c:pt>
                <c:pt idx="29">
                  <c:v>6.2456469002415327</c:v>
                </c:pt>
                <c:pt idx="30">
                  <c:v>6.2456469002415327</c:v>
                </c:pt>
                <c:pt idx="31">
                  <c:v>6.2456469002415327</c:v>
                </c:pt>
                <c:pt idx="32">
                  <c:v>6.2456469002415327</c:v>
                </c:pt>
                <c:pt idx="33">
                  <c:v>6.2456469002415327</c:v>
                </c:pt>
                <c:pt idx="34">
                  <c:v>6.2456469002415327</c:v>
                </c:pt>
                <c:pt idx="35">
                  <c:v>6.2456469002415327</c:v>
                </c:pt>
                <c:pt idx="36">
                  <c:v>6.2456469002415327</c:v>
                </c:pt>
                <c:pt idx="37">
                  <c:v>6.2456469002415327</c:v>
                </c:pt>
                <c:pt idx="38">
                  <c:v>6.2456469002415327</c:v>
                </c:pt>
                <c:pt idx="39">
                  <c:v>6.2456469002415327</c:v>
                </c:pt>
                <c:pt idx="40">
                  <c:v>6.2456469002415327</c:v>
                </c:pt>
                <c:pt idx="41">
                  <c:v>6.2456469002415327</c:v>
                </c:pt>
                <c:pt idx="42">
                  <c:v>6.2456469002415327</c:v>
                </c:pt>
                <c:pt idx="43">
                  <c:v>6.2456469002415327</c:v>
                </c:pt>
                <c:pt idx="44">
                  <c:v>6.2456469002415327</c:v>
                </c:pt>
                <c:pt idx="45">
                  <c:v>6.2456469002415327</c:v>
                </c:pt>
                <c:pt idx="46">
                  <c:v>6.2456469002415327</c:v>
                </c:pt>
                <c:pt idx="47">
                  <c:v>6.2456469002415327</c:v>
                </c:pt>
                <c:pt idx="48">
                  <c:v>6.2456469002415327</c:v>
                </c:pt>
                <c:pt idx="49">
                  <c:v>6.2456469002415327</c:v>
                </c:pt>
                <c:pt idx="50">
                  <c:v>6.2456469002415327</c:v>
                </c:pt>
                <c:pt idx="51">
                  <c:v>6.2456469002415327</c:v>
                </c:pt>
                <c:pt idx="52">
                  <c:v>6.2456469002415327</c:v>
                </c:pt>
                <c:pt idx="53">
                  <c:v>6.2456469002415327</c:v>
                </c:pt>
                <c:pt idx="54">
                  <c:v>6.2456469002415327</c:v>
                </c:pt>
                <c:pt idx="55">
                  <c:v>6.2456469002415327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9A-40F1-895C-A2D27CAB9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818304"/>
        <c:axId val="182819840"/>
      </c:lineChart>
      <c:lineChart>
        <c:grouping val="standard"/>
        <c:varyColors val="0"/>
        <c:ser>
          <c:idx val="1"/>
          <c:order val="1"/>
          <c:tx>
            <c:strRef>
              <c:f>'PC$ - AAG'!$A$12</c:f>
              <c:strCache>
                <c:ptCount val="1"/>
                <c:pt idx="0">
                  <c:v>YTD % improvement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'PC$ - AAG'!$B$10:$BE$10</c:f>
              <c:strCache>
                <c:ptCount val="5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2016-1</c:v>
                </c:pt>
                <c:pt idx="5">
                  <c:v>2016-2</c:v>
                </c:pt>
                <c:pt idx="6">
                  <c:v>2016-3</c:v>
                </c:pt>
                <c:pt idx="7">
                  <c:v>2016-4</c:v>
                </c:pt>
                <c:pt idx="8">
                  <c:v>2016-5</c:v>
                </c:pt>
                <c:pt idx="9">
                  <c:v>2016-6</c:v>
                </c:pt>
                <c:pt idx="10">
                  <c:v>2016-7</c:v>
                </c:pt>
                <c:pt idx="11">
                  <c:v>2016-8</c:v>
                </c:pt>
                <c:pt idx="12">
                  <c:v>2016-9</c:v>
                </c:pt>
                <c:pt idx="13">
                  <c:v>2016-10</c:v>
                </c:pt>
                <c:pt idx="14">
                  <c:v>2016-11</c:v>
                </c:pt>
                <c:pt idx="15">
                  <c:v>2016-12</c:v>
                </c:pt>
                <c:pt idx="16">
                  <c:v>2016-13</c:v>
                </c:pt>
                <c:pt idx="17">
                  <c:v>2016-14</c:v>
                </c:pt>
                <c:pt idx="18">
                  <c:v>2016-15</c:v>
                </c:pt>
                <c:pt idx="19">
                  <c:v>2016-16</c:v>
                </c:pt>
                <c:pt idx="20">
                  <c:v>2016-17</c:v>
                </c:pt>
                <c:pt idx="21">
                  <c:v>2016-18</c:v>
                </c:pt>
                <c:pt idx="22">
                  <c:v>2016-19</c:v>
                </c:pt>
                <c:pt idx="23">
                  <c:v>2016-20</c:v>
                </c:pt>
                <c:pt idx="24">
                  <c:v>2016-21</c:v>
                </c:pt>
                <c:pt idx="25">
                  <c:v>2016-22</c:v>
                </c:pt>
                <c:pt idx="26">
                  <c:v>2016-23</c:v>
                </c:pt>
                <c:pt idx="27">
                  <c:v>2016-24</c:v>
                </c:pt>
                <c:pt idx="28">
                  <c:v>2016-25</c:v>
                </c:pt>
                <c:pt idx="29">
                  <c:v>2016-26</c:v>
                </c:pt>
                <c:pt idx="30">
                  <c:v>2016-27</c:v>
                </c:pt>
                <c:pt idx="31">
                  <c:v>2016-28</c:v>
                </c:pt>
                <c:pt idx="32">
                  <c:v>2016-29</c:v>
                </c:pt>
                <c:pt idx="33">
                  <c:v>2016-30</c:v>
                </c:pt>
                <c:pt idx="34">
                  <c:v>2016-31</c:v>
                </c:pt>
                <c:pt idx="35">
                  <c:v>2016-32</c:v>
                </c:pt>
                <c:pt idx="36">
                  <c:v>2016-33</c:v>
                </c:pt>
                <c:pt idx="37">
                  <c:v>2016-34</c:v>
                </c:pt>
                <c:pt idx="38">
                  <c:v>2016-35</c:v>
                </c:pt>
                <c:pt idx="39">
                  <c:v>2016-36</c:v>
                </c:pt>
                <c:pt idx="40">
                  <c:v>2016-37</c:v>
                </c:pt>
                <c:pt idx="41">
                  <c:v>2016-38</c:v>
                </c:pt>
                <c:pt idx="42">
                  <c:v>2016-39</c:v>
                </c:pt>
                <c:pt idx="43">
                  <c:v>2016-40</c:v>
                </c:pt>
                <c:pt idx="44">
                  <c:v>2016-41</c:v>
                </c:pt>
                <c:pt idx="45">
                  <c:v>2016-42</c:v>
                </c:pt>
                <c:pt idx="46">
                  <c:v>2016-43</c:v>
                </c:pt>
                <c:pt idx="47">
                  <c:v>2016-44</c:v>
                </c:pt>
                <c:pt idx="48">
                  <c:v>2016-45</c:v>
                </c:pt>
                <c:pt idx="49">
                  <c:v>2016-46</c:v>
                </c:pt>
                <c:pt idx="50">
                  <c:v>2016-47</c:v>
                </c:pt>
                <c:pt idx="51">
                  <c:v>2016-48</c:v>
                </c:pt>
                <c:pt idx="52">
                  <c:v>2016-49</c:v>
                </c:pt>
                <c:pt idx="53">
                  <c:v>2016-50</c:v>
                </c:pt>
                <c:pt idx="54">
                  <c:v>2016-51</c:v>
                </c:pt>
                <c:pt idx="55">
                  <c:v>2016-52</c:v>
                </c:pt>
              </c:strCache>
            </c:strRef>
          </c:cat>
          <c:val>
            <c:numRef>
              <c:f>'PC$ - AAG'!$B$12:$BE$12</c:f>
              <c:numCache>
                <c:formatCode>0.0%</c:formatCode>
                <c:ptCount val="56"/>
                <c:pt idx="0">
                  <c:v>3.2250011543015766E-3</c:v>
                </c:pt>
                <c:pt idx="1">
                  <c:v>-2.8719555561016463E-3</c:v>
                </c:pt>
                <c:pt idx="2">
                  <c:v>-4.6737390751014907E-3</c:v>
                </c:pt>
                <c:pt idx="3">
                  <c:v>-7.1278693500071988E-3</c:v>
                </c:pt>
                <c:pt idx="4" formatCode="0%">
                  <c:v>-7.0642255202498783E-3</c:v>
                </c:pt>
                <c:pt idx="5">
                  <c:v>-7.0642255202498783E-3</c:v>
                </c:pt>
                <c:pt idx="6">
                  <c:v>-7.0642255202498783E-3</c:v>
                </c:pt>
                <c:pt idx="7">
                  <c:v>-7.0642255202498783E-3</c:v>
                </c:pt>
                <c:pt idx="8">
                  <c:v>-4.1497708195135097E-3</c:v>
                </c:pt>
                <c:pt idx="9">
                  <c:v>-2.7145879025907149E-3</c:v>
                </c:pt>
                <c:pt idx="10">
                  <c:v>-1.8604047008611291E-3</c:v>
                </c:pt>
                <c:pt idx="11">
                  <c:v>-1.2938063346848994E-3</c:v>
                </c:pt>
                <c:pt idx="12">
                  <c:v>1.1773799381686878E-4</c:v>
                </c:pt>
                <c:pt idx="13">
                  <c:v>1.0470902567227824E-3</c:v>
                </c:pt>
                <c:pt idx="14">
                  <c:v>1.7052847421652473E-3</c:v>
                </c:pt>
                <c:pt idx="15">
                  <c:v>2.1958866526914367E-3</c:v>
                </c:pt>
                <c:pt idx="16">
                  <c:v>3.43126726859877E-3</c:v>
                </c:pt>
                <c:pt idx="17">
                  <c:v>4.4034874260763246E-3</c:v>
                </c:pt>
                <c:pt idx="18">
                  <c:v>5.1885406261029665E-3</c:v>
                </c:pt>
                <c:pt idx="19">
                  <c:v>5.8357297638431671E-3</c:v>
                </c:pt>
                <c:pt idx="20">
                  <c:v>6.3784391982590893E-3</c:v>
                </c:pt>
                <c:pt idx="21">
                  <c:v>7.6739401448757683E-3</c:v>
                </c:pt>
                <c:pt idx="22">
                  <c:v>8.8128101668791814E-3</c:v>
                </c:pt>
                <c:pt idx="23">
                  <c:v>9.8381699732430494E-3</c:v>
                </c:pt>
                <c:pt idx="24">
                  <c:v>1.0864905070296027E-2</c:v>
                </c:pt>
                <c:pt idx="25">
                  <c:v>1.0864905070296027E-2</c:v>
                </c:pt>
                <c:pt idx="26">
                  <c:v>1.0864905070296027E-2</c:v>
                </c:pt>
                <c:pt idx="27">
                  <c:v>1.0864905070296027E-2</c:v>
                </c:pt>
                <c:pt idx="28">
                  <c:v>1.0864905070296027E-2</c:v>
                </c:pt>
                <c:pt idx="29">
                  <c:v>1.0864905070296027E-2</c:v>
                </c:pt>
                <c:pt idx="30">
                  <c:v>1.0864905070296027E-2</c:v>
                </c:pt>
                <c:pt idx="31">
                  <c:v>1.0864905070296027E-2</c:v>
                </c:pt>
                <c:pt idx="32">
                  <c:v>1.0864905070296027E-2</c:v>
                </c:pt>
                <c:pt idx="33">
                  <c:v>1.0864905070296027E-2</c:v>
                </c:pt>
                <c:pt idx="34">
                  <c:v>1.0864905070296027E-2</c:v>
                </c:pt>
                <c:pt idx="35">
                  <c:v>1.0864905070296027E-2</c:v>
                </c:pt>
                <c:pt idx="36">
                  <c:v>1.0864905070296027E-2</c:v>
                </c:pt>
                <c:pt idx="37">
                  <c:v>1.0864905070296027E-2</c:v>
                </c:pt>
                <c:pt idx="38">
                  <c:v>1.0864905070296027E-2</c:v>
                </c:pt>
                <c:pt idx="39">
                  <c:v>1.0864905070296027E-2</c:v>
                </c:pt>
                <c:pt idx="40">
                  <c:v>1.0864905070296027E-2</c:v>
                </c:pt>
                <c:pt idx="41">
                  <c:v>1.0864905070296027E-2</c:v>
                </c:pt>
                <c:pt idx="42">
                  <c:v>1.0864905070296027E-2</c:v>
                </c:pt>
                <c:pt idx="43">
                  <c:v>1.0864905070296027E-2</c:v>
                </c:pt>
                <c:pt idx="44">
                  <c:v>1.0864905070296027E-2</c:v>
                </c:pt>
                <c:pt idx="45">
                  <c:v>1.0864905070296027E-2</c:v>
                </c:pt>
                <c:pt idx="46">
                  <c:v>1.0864905070296027E-2</c:v>
                </c:pt>
                <c:pt idx="47">
                  <c:v>1.0864905070296027E-2</c:v>
                </c:pt>
                <c:pt idx="48">
                  <c:v>1.0864905070296027E-2</c:v>
                </c:pt>
                <c:pt idx="49">
                  <c:v>1.0864905070296027E-2</c:v>
                </c:pt>
                <c:pt idx="50">
                  <c:v>1.0864905070296027E-2</c:v>
                </c:pt>
                <c:pt idx="51">
                  <c:v>1.0864905070296027E-2</c:v>
                </c:pt>
                <c:pt idx="52">
                  <c:v>1.0864905070296027E-2</c:v>
                </c:pt>
                <c:pt idx="53">
                  <c:v>1.0864905070296027E-2</c:v>
                </c:pt>
                <c:pt idx="54">
                  <c:v>1.0864905070296027E-2</c:v>
                </c:pt>
                <c:pt idx="55">
                  <c:v>1.0864905070296027E-2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9A-40F1-895C-A2D27CAB9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832128"/>
        <c:axId val="182830208"/>
      </c:lineChart>
      <c:catAx>
        <c:axId val="18281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9840"/>
        <c:crosses val="autoZero"/>
        <c:auto val="1"/>
        <c:lblAlgn val="ctr"/>
        <c:lblOffset val="100"/>
        <c:noMultiLvlLbl val="0"/>
      </c:catAx>
      <c:valAx>
        <c:axId val="182819840"/>
        <c:scaling>
          <c:orientation val="minMax"/>
          <c:max val="7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$/Hr</a:t>
                </a:r>
              </a:p>
            </c:rich>
          </c:tx>
          <c:layout>
            <c:manualLayout>
              <c:xMode val="edge"/>
              <c:yMode val="edge"/>
              <c:x val="3.6253772602044002E-2"/>
              <c:y val="0.438867831938656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304"/>
        <c:crosses val="autoZero"/>
        <c:crossBetween val="between"/>
      </c:valAx>
      <c:valAx>
        <c:axId val="182830208"/>
        <c:scaling>
          <c:orientation val="minMax"/>
          <c:max val="0.1"/>
          <c:min val="-2.0000000000000011E-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32128"/>
        <c:crosses val="max"/>
        <c:crossBetween val="between"/>
      </c:valAx>
      <c:catAx>
        <c:axId val="182832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83020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25" l="0.2" r="0.2" t="0.25" header="0.30000000000000021" footer="0.30000000000000021"/>
    <c:pageSetup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</a:t>
            </a:r>
            <a:r>
              <a:rPr lang="en-US" baseline="0"/>
              <a:t> Monthly Productivity Measure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'PC$ - AAG'!$A$18</c:f>
              <c:strCache>
                <c:ptCount val="1"/>
                <c:pt idx="0">
                  <c:v>Monthly-Actual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'PC$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'PC$ - AAG'!$B$18:$Q$18</c:f>
              <c:numCache>
                <c:formatCode>_("$"* #,##0.00_);_("$"* \(#,##0.00\);_("$"* "-"??_);_(@_)</c:formatCode>
                <c:ptCount val="16"/>
                <c:pt idx="0">
                  <c:v>6.3203175072721001</c:v>
                </c:pt>
                <c:pt idx="1">
                  <c:v>6.2434958527210194</c:v>
                </c:pt>
                <c:pt idx="2">
                  <c:v>6.2478529714874611</c:v>
                </c:pt>
                <c:pt idx="3">
                  <c:v>6.2087113608992368</c:v>
                </c:pt>
                <c:pt idx="4">
                  <c:v>6.2015262420183772</c:v>
                </c:pt>
                <c:pt idx="5">
                  <c:v>6.2550491670511255</c:v>
                </c:pt>
                <c:pt idx="6">
                  <c:v>6.2803652916550954</c:v>
                </c:pt>
                <c:pt idx="7">
                  <c:v>6.3240875352291246</c:v>
                </c:pt>
                <c:pt idx="8">
                  <c:v>6.3694363307629001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A1-43ED-8199-D2332843C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871936"/>
        <c:axId val="182873472"/>
      </c:barChart>
      <c:lineChart>
        <c:grouping val="standard"/>
        <c:varyColors val="0"/>
        <c:ser>
          <c:idx val="2"/>
          <c:order val="2"/>
          <c:tx>
            <c:strRef>
              <c:f>'PC$ - AAG'!$A$20</c:f>
              <c:strCache>
                <c:ptCount val="1"/>
                <c:pt idx="0">
                  <c:v>Base 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'PC$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'PC$ - AAG'!$B$20:$Q$20</c:f>
              <c:numCache>
                <c:formatCode>_("$"* #,##0.00_);_("$"* \(#,##0.00\);_("$"* "-"??_);_(@_)</c:formatCode>
                <c:ptCount val="16"/>
                <c:pt idx="0">
                  <c:v>6.3</c:v>
                </c:pt>
                <c:pt idx="1">
                  <c:v>6.3</c:v>
                </c:pt>
                <c:pt idx="2">
                  <c:v>6.3</c:v>
                </c:pt>
                <c:pt idx="3">
                  <c:v>6.3</c:v>
                </c:pt>
                <c:pt idx="4">
                  <c:v>6.2456469002415327</c:v>
                </c:pt>
                <c:pt idx="5">
                  <c:v>6.2456469002415327</c:v>
                </c:pt>
                <c:pt idx="6">
                  <c:v>6.2456469002415327</c:v>
                </c:pt>
                <c:pt idx="7">
                  <c:v>6.2456469002415327</c:v>
                </c:pt>
                <c:pt idx="8">
                  <c:v>6.2456469002415327</c:v>
                </c:pt>
                <c:pt idx="9">
                  <c:v>6.2456469002415327</c:v>
                </c:pt>
                <c:pt idx="10">
                  <c:v>6.2456469002415327</c:v>
                </c:pt>
                <c:pt idx="11">
                  <c:v>6.2456469002415327</c:v>
                </c:pt>
                <c:pt idx="12">
                  <c:v>6.2456469002415327</c:v>
                </c:pt>
                <c:pt idx="13">
                  <c:v>6.2456469002415327</c:v>
                </c:pt>
                <c:pt idx="14">
                  <c:v>6.2456469002415327</c:v>
                </c:pt>
                <c:pt idx="15">
                  <c:v>6.2456469002415327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A1-43ED-8199-D2332843C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871936"/>
        <c:axId val="182873472"/>
      </c:lineChart>
      <c:lineChart>
        <c:grouping val="standard"/>
        <c:varyColors val="0"/>
        <c:ser>
          <c:idx val="1"/>
          <c:order val="1"/>
          <c:tx>
            <c:strRef>
              <c:f>'PC$ - AAG'!$A$19</c:f>
              <c:strCache>
                <c:ptCount val="1"/>
                <c:pt idx="0">
                  <c:v>YTD % improvement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'PC$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'PC$ - AAG'!$B$19:$Q$19</c:f>
              <c:numCache>
                <c:formatCode>0.0%</c:formatCode>
                <c:ptCount val="16"/>
                <c:pt idx="0">
                  <c:v>3.2250011543015766E-3</c:v>
                </c:pt>
                <c:pt idx="1">
                  <c:v>-2.8719555561016463E-3</c:v>
                </c:pt>
                <c:pt idx="2">
                  <c:v>-4.6737390751014907E-3</c:v>
                </c:pt>
                <c:pt idx="3">
                  <c:v>-7.1278693500071988E-3</c:v>
                </c:pt>
                <c:pt idx="4">
                  <c:v>-7.0642255202498783E-3</c:v>
                </c:pt>
                <c:pt idx="5">
                  <c:v>-1.2938063346848994E-3</c:v>
                </c:pt>
                <c:pt idx="6">
                  <c:v>1.1773799381686878E-4</c:v>
                </c:pt>
                <c:pt idx="7">
                  <c:v>1.0470902567227824E-3</c:v>
                </c:pt>
                <c:pt idx="8">
                  <c:v>1.7052847421652473E-3</c:v>
                </c:pt>
                <c:pt idx="9">
                  <c:v>2.1958866526914367E-3</c:v>
                </c:pt>
                <c:pt idx="10">
                  <c:v>3.43126726859877E-3</c:v>
                </c:pt>
                <c:pt idx="11">
                  <c:v>4.4034874260763246E-3</c:v>
                </c:pt>
                <c:pt idx="12">
                  <c:v>5.1885406261029665E-3</c:v>
                </c:pt>
                <c:pt idx="13">
                  <c:v>5.8357297638431671E-3</c:v>
                </c:pt>
                <c:pt idx="14">
                  <c:v>6.3784391982590893E-3</c:v>
                </c:pt>
                <c:pt idx="15">
                  <c:v>7.6739401448757683E-3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A1-43ED-8199-D2332843CE03}"/>
            </c:ext>
          </c:extLst>
        </c:ser>
        <c:ser>
          <c:idx val="3"/>
          <c:order val="3"/>
          <c:tx>
            <c:strRef>
              <c:f>'PC$ - AAG'!$A$21</c:f>
              <c:strCache>
                <c:ptCount val="1"/>
                <c:pt idx="0">
                  <c:v>% improvement from Base Line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'PC$ - AAG'!$B$17:$Q$17</c:f>
              <c:strCache>
                <c:ptCount val="16"/>
                <c:pt idx="0">
                  <c:v>Q1-15</c:v>
                </c:pt>
                <c:pt idx="1">
                  <c:v>Q2-15</c:v>
                </c:pt>
                <c:pt idx="2">
                  <c:v>Q3-15</c:v>
                </c:pt>
                <c:pt idx="3">
                  <c:v>Q4-15</c:v>
                </c:pt>
                <c:pt idx="4">
                  <c:v>Jan-16</c:v>
                </c:pt>
                <c:pt idx="5">
                  <c:v>Feb-16</c:v>
                </c:pt>
                <c:pt idx="6">
                  <c:v>Mar-16</c:v>
                </c:pt>
                <c:pt idx="7">
                  <c:v>Apr-16</c:v>
                </c:pt>
                <c:pt idx="8">
                  <c:v>May-16</c:v>
                </c:pt>
                <c:pt idx="9">
                  <c:v>Jun-16</c:v>
                </c:pt>
                <c:pt idx="10">
                  <c:v>Jul-16</c:v>
                </c:pt>
                <c:pt idx="11">
                  <c:v>Aug-16</c:v>
                </c:pt>
                <c:pt idx="12">
                  <c:v>Sep-16</c:v>
                </c:pt>
                <c:pt idx="13">
                  <c:v>Oct-16</c:v>
                </c:pt>
                <c:pt idx="14">
                  <c:v>Nov-16</c:v>
                </c:pt>
                <c:pt idx="15">
                  <c:v>Dec-16</c:v>
                </c:pt>
              </c:strCache>
            </c:strRef>
          </c:cat>
          <c:val>
            <c:numRef>
              <c:f>'PC$ - AAG'!$B$21:$Q$21</c:f>
              <c:numCache>
                <c:formatCode>0.0%</c:formatCode>
                <c:ptCount val="16"/>
                <c:pt idx="0">
                  <c:v>3.2250011543015766E-3</c:v>
                </c:pt>
                <c:pt idx="1">
                  <c:v>-8.9689122665048693E-3</c:v>
                </c:pt>
                <c:pt idx="2">
                  <c:v>-8.2773061131014014E-3</c:v>
                </c:pt>
                <c:pt idx="3">
                  <c:v>-1.4490260174724323E-2</c:v>
                </c:pt>
                <c:pt idx="4">
                  <c:v>-7.0642255202498783E-3</c:v>
                </c:pt>
                <c:pt idx="5">
                  <c:v>1.5054112023573651E-3</c:v>
                </c:pt>
                <c:pt idx="6">
                  <c:v>5.5588143178924021E-3</c:v>
                </c:pt>
                <c:pt idx="7">
                  <c:v>1.2559249064265643E-2</c:v>
                </c:pt>
                <c:pt idx="8">
                  <c:v>1.9820113512433846E-2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A1-43ED-8199-D2332843C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881664"/>
        <c:axId val="182879744"/>
      </c:lineChart>
      <c:catAx>
        <c:axId val="18287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73472"/>
        <c:crosses val="autoZero"/>
        <c:auto val="1"/>
        <c:lblAlgn val="ctr"/>
        <c:lblOffset val="100"/>
        <c:noMultiLvlLbl val="0"/>
      </c:catAx>
      <c:valAx>
        <c:axId val="182873472"/>
        <c:scaling>
          <c:orientation val="minMax"/>
          <c:max val="7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$/hr</a:t>
                </a:r>
              </a:p>
            </c:rich>
          </c:tx>
          <c:layout>
            <c:manualLayout>
              <c:xMode val="edge"/>
              <c:yMode val="edge"/>
              <c:x val="0.11175485879582933"/>
              <c:y val="0.404386637021298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71936"/>
        <c:crosses val="autoZero"/>
        <c:crossBetween val="between"/>
      </c:valAx>
      <c:valAx>
        <c:axId val="182879744"/>
        <c:scaling>
          <c:orientation val="minMax"/>
          <c:max val="0.1"/>
          <c:min val="-5.0000000000000024E-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81664"/>
        <c:crosses val="max"/>
        <c:crossBetween val="between"/>
      </c:valAx>
      <c:catAx>
        <c:axId val="182881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87974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25" l="0.2" r="0.2" t="0.25" header="0.30000000000000021" footer="0.30000000000000021"/>
    <c:pageSetup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Plant Productivity Measure</a:t>
            </a:r>
          </a:p>
          <a:p>
            <a:pPr>
              <a:defRPr/>
            </a:pPr>
            <a:r>
              <a:rPr lang="en-US"/>
              <a:t>Non-standard Cost System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'No Std Cost'!$A$68</c:f>
              <c:strCache>
                <c:ptCount val="1"/>
                <c:pt idx="0">
                  <c:v>=(Sale-DM)/Labor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'No Std Cost'!$B$67:$G$67</c:f>
              <c:numCache>
                <c:formatCode>mmm\-yy</c:formatCode>
                <c:ptCount val="6"/>
                <c:pt idx="0">
                  <c:v>42309</c:v>
                </c:pt>
                <c:pt idx="1">
                  <c:v>42339</c:v>
                </c:pt>
                <c:pt idx="2">
                  <c:v>42370</c:v>
                </c:pt>
                <c:pt idx="3">
                  <c:v>42401</c:v>
                </c:pt>
                <c:pt idx="4">
                  <c:v>42430</c:v>
                </c:pt>
                <c:pt idx="5">
                  <c:v>42461</c:v>
                </c:pt>
              </c:numCache>
            </c:numRef>
          </c:cat>
          <c:val>
            <c:numRef>
              <c:f>'No Std Cost'!$B$68:$G$68</c:f>
              <c:numCache>
                <c:formatCode>_(* #,##0.00_);_(* \(#,##0.00\);_(* "-"??_);_(@_)</c:formatCode>
                <c:ptCount val="6"/>
                <c:pt idx="0">
                  <c:v>7.8231645585134606</c:v>
                </c:pt>
                <c:pt idx="1">
                  <c:v>10.081260931390915</c:v>
                </c:pt>
                <c:pt idx="2">
                  <c:v>8.5945806344228028</c:v>
                </c:pt>
                <c:pt idx="3">
                  <c:v>8.331763739721648</c:v>
                </c:pt>
                <c:pt idx="4">
                  <c:v>9.6332627683365466</c:v>
                </c:pt>
                <c:pt idx="5">
                  <c:v>10.497158989415105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E-465C-8DEB-105C89704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2908416"/>
        <c:axId val="182909952"/>
      </c:barChart>
      <c:lineChart>
        <c:grouping val="standard"/>
        <c:varyColors val="0"/>
        <c:ser>
          <c:idx val="1"/>
          <c:order val="1"/>
          <c:tx>
            <c:strRef>
              <c:f>'No Std Cost'!$A$69</c:f>
              <c:strCache>
                <c:ptCount val="1"/>
                <c:pt idx="0">
                  <c:v>3 month average-Base Line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 Std Cost'!$B$67:$G$67</c:f>
              <c:numCache>
                <c:formatCode>mmm\-yy</c:formatCode>
                <c:ptCount val="6"/>
                <c:pt idx="0">
                  <c:v>42309</c:v>
                </c:pt>
                <c:pt idx="1">
                  <c:v>42339</c:v>
                </c:pt>
                <c:pt idx="2">
                  <c:v>42370</c:v>
                </c:pt>
                <c:pt idx="3">
                  <c:v>42401</c:v>
                </c:pt>
                <c:pt idx="4">
                  <c:v>42430</c:v>
                </c:pt>
                <c:pt idx="5">
                  <c:v>42461</c:v>
                </c:pt>
              </c:numCache>
            </c:numRef>
          </c:cat>
          <c:val>
            <c:numRef>
              <c:f>'No Std Cost'!$B$69:$G$69</c:f>
              <c:numCache>
                <c:formatCode>_(* #,##0.00_);_(* \(#,##0.00\);_(* "-"??_);_(@_)</c:formatCode>
                <c:ptCount val="6"/>
                <c:pt idx="0">
                  <c:v>8.8330020414423931</c:v>
                </c:pt>
                <c:pt idx="1">
                  <c:v>8.8330020414423931</c:v>
                </c:pt>
                <c:pt idx="2">
                  <c:v>8.8330020414423931</c:v>
                </c:pt>
                <c:pt idx="3">
                  <c:v>8.8330020414423931</c:v>
                </c:pt>
                <c:pt idx="4">
                  <c:v>8.8330020414423931</c:v>
                </c:pt>
                <c:pt idx="5">
                  <c:v>8.8330020414423931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FE-465C-8DEB-105C89704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08416"/>
        <c:axId val="182909952"/>
      </c:lineChart>
      <c:lineChart>
        <c:grouping val="standard"/>
        <c:varyColors val="0"/>
        <c:ser>
          <c:idx val="2"/>
          <c:order val="2"/>
          <c:tx>
            <c:strRef>
              <c:f>'No Std Cost'!$A$70</c:f>
              <c:strCache>
                <c:ptCount val="1"/>
                <c:pt idx="0">
                  <c:v>% improvement from Base 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 Std Cost'!$B$67:$G$67</c:f>
              <c:numCache>
                <c:formatCode>mmm\-yy</c:formatCode>
                <c:ptCount val="6"/>
                <c:pt idx="0">
                  <c:v>42309</c:v>
                </c:pt>
                <c:pt idx="1">
                  <c:v>42339</c:v>
                </c:pt>
                <c:pt idx="2">
                  <c:v>42370</c:v>
                </c:pt>
                <c:pt idx="3">
                  <c:v>42401</c:v>
                </c:pt>
                <c:pt idx="4">
                  <c:v>42430</c:v>
                </c:pt>
                <c:pt idx="5">
                  <c:v>42461</c:v>
                </c:pt>
              </c:numCache>
            </c:numRef>
          </c:cat>
          <c:val>
            <c:numRef>
              <c:f>'No Std Cost'!$B$70:$G$70</c:f>
              <c:numCache>
                <c:formatCode>0.0%</c:formatCode>
                <c:ptCount val="6"/>
                <c:pt idx="0">
                  <c:v>-0.1143255122314033</c:v>
                </c:pt>
                <c:pt idx="1">
                  <c:v>1.3496057506891423E-2</c:v>
                </c:pt>
                <c:pt idx="2">
                  <c:v>0</c:v>
                </c:pt>
                <c:pt idx="3">
                  <c:v>-1.4186521733184465E-2</c:v>
                </c:pt>
                <c:pt idx="4">
                  <c:v>6.770572989125867E-3</c:v>
                </c:pt>
                <c:pt idx="5">
                  <c:v>3.7042509517816402E-2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FE-465C-8DEB-105C89704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060736"/>
        <c:axId val="183059200"/>
      </c:lineChart>
      <c:dateAx>
        <c:axId val="18290841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09952"/>
        <c:crosses val="autoZero"/>
        <c:auto val="1"/>
        <c:lblOffset val="100"/>
        <c:baseTimeUnit val="months"/>
      </c:dateAx>
      <c:valAx>
        <c:axId val="182909952"/>
        <c:scaling>
          <c:orientation val="minMax"/>
          <c:max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08416"/>
        <c:crosses val="autoZero"/>
        <c:crossBetween val="between"/>
      </c:valAx>
      <c:valAx>
        <c:axId val="183059200"/>
        <c:scaling>
          <c:orientation val="minMax"/>
          <c:max val="0.15000000000000013"/>
          <c:min val="-0.15000000000000013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60736"/>
        <c:crosses val="max"/>
        <c:crossBetween val="between"/>
      </c:valAx>
      <c:dateAx>
        <c:axId val="183060736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one"/>
        <c:crossAx val="183059200"/>
        <c:crosses val="autoZero"/>
        <c:auto val="1"/>
        <c:lblOffset val="100"/>
        <c:baseTimeUnit val="months"/>
        <c:majorUnit val="1"/>
        <c:minorUnit val="1"/>
      </c:date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57156</xdr:colOff>
      <xdr:row>21</xdr:row>
      <xdr:rowOff>133355</xdr:rowOff>
    </xdr:from>
    <xdr:to>
      <xdr:col>31</xdr:col>
      <xdr:colOff>171450</xdr:colOff>
      <xdr:row>56</xdr:row>
      <xdr:rowOff>81642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188343</xdr:colOff>
      <xdr:row>57</xdr:row>
      <xdr:rowOff>180800</xdr:rowOff>
    </xdr:from>
    <xdr:to>
      <xdr:col>16</xdr:col>
      <xdr:colOff>495300</xdr:colOff>
      <xdr:row>82</xdr:row>
      <xdr:rowOff>-1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66453</xdr:rowOff>
    </xdr:from>
    <xdr:to>
      <xdr:col>31</xdr:col>
      <xdr:colOff>166134</xdr:colOff>
      <xdr:row>51</xdr:row>
      <xdr:rowOff>99680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18458</xdr:colOff>
      <xdr:row>52</xdr:row>
      <xdr:rowOff>47916</xdr:rowOff>
    </xdr:from>
    <xdr:to>
      <xdr:col>23</xdr:col>
      <xdr:colOff>718683</xdr:colOff>
      <xdr:row>86</xdr:row>
      <xdr:rowOff>95541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66453</xdr:rowOff>
    </xdr:from>
    <xdr:to>
      <xdr:col>31</xdr:col>
      <xdr:colOff>166134</xdr:colOff>
      <xdr:row>51</xdr:row>
      <xdr:rowOff>99680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18458</xdr:colOff>
      <xdr:row>52</xdr:row>
      <xdr:rowOff>14298</xdr:rowOff>
    </xdr:from>
    <xdr:to>
      <xdr:col>23</xdr:col>
      <xdr:colOff>718683</xdr:colOff>
      <xdr:row>86</xdr:row>
      <xdr:rowOff>61923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57156</xdr:colOff>
      <xdr:row>21</xdr:row>
      <xdr:rowOff>133355</xdr:rowOff>
    </xdr:from>
    <xdr:to>
      <xdr:col>31</xdr:col>
      <xdr:colOff>171450</xdr:colOff>
      <xdr:row>56</xdr:row>
      <xdr:rowOff>81642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188343</xdr:colOff>
      <xdr:row>57</xdr:row>
      <xdr:rowOff>180800</xdr:rowOff>
    </xdr:from>
    <xdr:to>
      <xdr:col>16</xdr:col>
      <xdr:colOff>495300</xdr:colOff>
      <xdr:row>82</xdr:row>
      <xdr:rowOff>-1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</xdr:colOff>
      <xdr:row>21</xdr:row>
      <xdr:rowOff>185737</xdr:rowOff>
    </xdr:from>
    <xdr:to>
      <xdr:col>26</xdr:col>
      <xdr:colOff>489858</xdr:colOff>
      <xdr:row>46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58511</xdr:colOff>
      <xdr:row>46</xdr:row>
      <xdr:rowOff>176211</xdr:rowOff>
    </xdr:from>
    <xdr:to>
      <xdr:col>15</xdr:col>
      <xdr:colOff>462643</xdr:colOff>
      <xdr:row>68</xdr:row>
      <xdr:rowOff>27214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</xdr:colOff>
      <xdr:row>21</xdr:row>
      <xdr:rowOff>185737</xdr:rowOff>
    </xdr:from>
    <xdr:to>
      <xdr:col>26</xdr:col>
      <xdr:colOff>489858</xdr:colOff>
      <xdr:row>46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58511</xdr:colOff>
      <xdr:row>46</xdr:row>
      <xdr:rowOff>176211</xdr:rowOff>
    </xdr:from>
    <xdr:to>
      <xdr:col>15</xdr:col>
      <xdr:colOff>462643</xdr:colOff>
      <xdr:row>68</xdr:row>
      <xdr:rowOff>27214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</xdr:colOff>
      <xdr:row>21</xdr:row>
      <xdr:rowOff>185737</xdr:rowOff>
    </xdr:from>
    <xdr:to>
      <xdr:col>26</xdr:col>
      <xdr:colOff>489858</xdr:colOff>
      <xdr:row>46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58511</xdr:colOff>
      <xdr:row>46</xdr:row>
      <xdr:rowOff>176211</xdr:rowOff>
    </xdr:from>
    <xdr:to>
      <xdr:col>15</xdr:col>
      <xdr:colOff>462643</xdr:colOff>
      <xdr:row>68</xdr:row>
      <xdr:rowOff>27214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</xdr:colOff>
      <xdr:row>21</xdr:row>
      <xdr:rowOff>185737</xdr:rowOff>
    </xdr:from>
    <xdr:to>
      <xdr:col>26</xdr:col>
      <xdr:colOff>489858</xdr:colOff>
      <xdr:row>46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58511</xdr:colOff>
      <xdr:row>46</xdr:row>
      <xdr:rowOff>176211</xdr:rowOff>
    </xdr:from>
    <xdr:to>
      <xdr:col>15</xdr:col>
      <xdr:colOff>462643</xdr:colOff>
      <xdr:row>68</xdr:row>
      <xdr:rowOff>27214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70</xdr:row>
      <xdr:rowOff>164306</xdr:rowOff>
    </xdr:from>
    <xdr:to>
      <xdr:col>11</xdr:col>
      <xdr:colOff>583406</xdr:colOff>
      <xdr:row>85</xdr:row>
      <xdr:rowOff>50006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21"/>
  <sheetViews>
    <sheetView workbookViewId="0">
      <selection activeCell="A34" sqref="A34"/>
    </sheetView>
  </sheetViews>
  <sheetFormatPr defaultRowHeight="15" x14ac:dyDescent="0.25"/>
  <cols>
    <col min="1" max="1" width="36.42578125" customWidth="1"/>
    <col min="2" max="2" width="11.140625" bestFit="1" customWidth="1"/>
    <col min="3" max="3" width="10.85546875" bestFit="1" customWidth="1"/>
    <col min="4" max="5" width="11.140625" bestFit="1" customWidth="1"/>
    <col min="6" max="9" width="9.5703125" bestFit="1" customWidth="1"/>
    <col min="10" max="13" width="10" bestFit="1" customWidth="1"/>
    <col min="14" max="22" width="10.85546875" bestFit="1" customWidth="1"/>
    <col min="23" max="24" width="11.140625" bestFit="1" customWidth="1"/>
    <col min="25" max="26" width="10.85546875" bestFit="1" customWidth="1"/>
    <col min="27" max="35" width="9.140625" bestFit="1" customWidth="1"/>
    <col min="36" max="36" width="8.85546875" bestFit="1" customWidth="1"/>
    <col min="37" max="45" width="9.140625" bestFit="1" customWidth="1"/>
    <col min="46" max="46" width="8.85546875" bestFit="1" customWidth="1"/>
    <col min="47" max="55" width="9.140625" bestFit="1" customWidth="1"/>
    <col min="56" max="56" width="8.85546875" bestFit="1" customWidth="1"/>
    <col min="57" max="57" width="9.140625" bestFit="1" customWidth="1"/>
  </cols>
  <sheetData>
    <row r="1" spans="1:57" s="32" customFormat="1" ht="14.45" x14ac:dyDescent="0.35">
      <c r="A1" s="32" t="s">
        <v>108</v>
      </c>
      <c r="B1" s="139">
        <v>2015</v>
      </c>
      <c r="C1" s="140"/>
      <c r="D1" s="140"/>
      <c r="E1" s="140"/>
      <c r="F1" s="141">
        <v>42385</v>
      </c>
      <c r="G1" s="142"/>
      <c r="H1" s="142"/>
      <c r="I1" s="143"/>
      <c r="J1" s="141">
        <v>42416</v>
      </c>
      <c r="K1" s="142"/>
      <c r="L1" s="142"/>
      <c r="M1" s="143"/>
      <c r="N1" s="144">
        <v>42445</v>
      </c>
      <c r="O1" s="145"/>
      <c r="P1" s="145"/>
      <c r="Q1" s="146"/>
      <c r="R1" s="144">
        <v>42476</v>
      </c>
      <c r="S1" s="145"/>
      <c r="T1" s="145"/>
      <c r="U1" s="145"/>
      <c r="V1" s="146"/>
      <c r="W1" s="144">
        <v>42506</v>
      </c>
      <c r="X1" s="145"/>
      <c r="Y1" s="145"/>
      <c r="Z1" s="146"/>
      <c r="AA1" s="144">
        <v>42537</v>
      </c>
      <c r="AB1" s="145"/>
      <c r="AC1" s="145"/>
      <c r="AD1" s="146"/>
      <c r="AE1" s="144">
        <v>42567</v>
      </c>
      <c r="AF1" s="145"/>
      <c r="AG1" s="145"/>
      <c r="AH1" s="145"/>
      <c r="AI1" s="146"/>
      <c r="AJ1" s="144">
        <v>42598</v>
      </c>
      <c r="AK1" s="145"/>
      <c r="AL1" s="145"/>
      <c r="AM1" s="146"/>
      <c r="AN1" s="144">
        <v>42629</v>
      </c>
      <c r="AO1" s="145"/>
      <c r="AP1" s="145"/>
      <c r="AQ1" s="145"/>
      <c r="AR1" s="146"/>
      <c r="AS1" s="144">
        <v>42659</v>
      </c>
      <c r="AT1" s="145"/>
      <c r="AU1" s="145"/>
      <c r="AV1" s="146"/>
      <c r="AW1" s="144">
        <v>42690</v>
      </c>
      <c r="AX1" s="145"/>
      <c r="AY1" s="145"/>
      <c r="AZ1" s="146"/>
      <c r="BA1" s="144">
        <v>42720</v>
      </c>
      <c r="BB1" s="145"/>
      <c r="BC1" s="145"/>
      <c r="BD1" s="145"/>
      <c r="BE1" s="146"/>
    </row>
    <row r="2" spans="1:57" thickBot="1" x14ac:dyDescent="0.4">
      <c r="B2" s="28" t="s">
        <v>48</v>
      </c>
      <c r="C2" s="28" t="s">
        <v>49</v>
      </c>
      <c r="D2" s="28" t="s">
        <v>50</v>
      </c>
      <c r="E2" s="33" t="s">
        <v>51</v>
      </c>
      <c r="F2" s="35" t="s">
        <v>52</v>
      </c>
      <c r="G2" s="28" t="s">
        <v>53</v>
      </c>
      <c r="H2" s="28" t="s">
        <v>54</v>
      </c>
      <c r="I2" s="36" t="s">
        <v>55</v>
      </c>
      <c r="J2" s="35" t="s">
        <v>56</v>
      </c>
      <c r="K2" s="28" t="s">
        <v>57</v>
      </c>
      <c r="L2" s="28" t="s">
        <v>58</v>
      </c>
      <c r="M2" s="36" t="s">
        <v>59</v>
      </c>
      <c r="N2" s="35" t="s">
        <v>60</v>
      </c>
      <c r="O2" s="28" t="s">
        <v>61</v>
      </c>
      <c r="P2" s="28" t="s">
        <v>62</v>
      </c>
      <c r="Q2" s="36" t="s">
        <v>63</v>
      </c>
      <c r="R2" s="35" t="s">
        <v>64</v>
      </c>
      <c r="S2" s="28" t="s">
        <v>65</v>
      </c>
      <c r="T2" s="28" t="s">
        <v>66</v>
      </c>
      <c r="U2" s="28" t="s">
        <v>67</v>
      </c>
      <c r="V2" s="36" t="s">
        <v>68</v>
      </c>
      <c r="W2" s="35" t="s">
        <v>69</v>
      </c>
      <c r="X2" s="28" t="s">
        <v>70</v>
      </c>
      <c r="Y2" s="28" t="s">
        <v>71</v>
      </c>
      <c r="Z2" s="36" t="s">
        <v>72</v>
      </c>
      <c r="AA2" s="52" t="s">
        <v>73</v>
      </c>
      <c r="AB2" s="53" t="s">
        <v>74</v>
      </c>
      <c r="AC2" s="53" t="s">
        <v>75</v>
      </c>
      <c r="AD2" s="54" t="s">
        <v>76</v>
      </c>
      <c r="AE2" s="35" t="s">
        <v>77</v>
      </c>
      <c r="AF2" s="28" t="s">
        <v>78</v>
      </c>
      <c r="AG2" s="28" t="s">
        <v>79</v>
      </c>
      <c r="AH2" s="28" t="s">
        <v>80</v>
      </c>
      <c r="AI2" s="36" t="s">
        <v>81</v>
      </c>
      <c r="AJ2" s="35" t="s">
        <v>82</v>
      </c>
      <c r="AK2" s="28" t="s">
        <v>83</v>
      </c>
      <c r="AL2" s="28" t="s">
        <v>84</v>
      </c>
      <c r="AM2" s="36" t="s">
        <v>85</v>
      </c>
      <c r="AN2" s="35" t="s">
        <v>86</v>
      </c>
      <c r="AO2" s="28" t="s">
        <v>87</v>
      </c>
      <c r="AP2" s="28" t="s">
        <v>88</v>
      </c>
      <c r="AQ2" s="28" t="s">
        <v>89</v>
      </c>
      <c r="AR2" s="36" t="s">
        <v>90</v>
      </c>
      <c r="AS2" s="35" t="s">
        <v>91</v>
      </c>
      <c r="AT2" s="28" t="s">
        <v>92</v>
      </c>
      <c r="AU2" s="28" t="s">
        <v>93</v>
      </c>
      <c r="AV2" s="36" t="s">
        <v>94</v>
      </c>
      <c r="AW2" s="35" t="s">
        <v>95</v>
      </c>
      <c r="AX2" s="28" t="s">
        <v>96</v>
      </c>
      <c r="AY2" s="28" t="s">
        <v>97</v>
      </c>
      <c r="AZ2" s="36" t="s">
        <v>98</v>
      </c>
      <c r="BA2" s="35" t="s">
        <v>99</v>
      </c>
      <c r="BB2" s="28" t="s">
        <v>100</v>
      </c>
      <c r="BC2" s="28" t="s">
        <v>101</v>
      </c>
      <c r="BD2" s="28" t="s">
        <v>102</v>
      </c>
      <c r="BE2" s="36" t="s">
        <v>103</v>
      </c>
    </row>
    <row r="3" spans="1:57" s="42" customFormat="1" ht="14.45" x14ac:dyDescent="0.35">
      <c r="A3" s="42" t="s">
        <v>111</v>
      </c>
      <c r="B3" s="43">
        <v>25639</v>
      </c>
      <c r="C3" s="43">
        <v>25718</v>
      </c>
      <c r="D3" s="43">
        <v>26675</v>
      </c>
      <c r="E3" s="51">
        <v>24745.439999999999</v>
      </c>
      <c r="F3" s="44">
        <v>1991</v>
      </c>
      <c r="G3" s="43">
        <v>1991</v>
      </c>
      <c r="H3" s="43">
        <v>1991</v>
      </c>
      <c r="I3" s="45">
        <v>1991</v>
      </c>
      <c r="J3" s="44">
        <v>4139.75</v>
      </c>
      <c r="K3" s="43">
        <v>4139.75</v>
      </c>
      <c r="L3" s="43">
        <v>4139.75</v>
      </c>
      <c r="M3" s="45">
        <v>4139.75</v>
      </c>
      <c r="N3" s="44">
        <v>6405.5</v>
      </c>
      <c r="O3" s="44">
        <v>6405.5</v>
      </c>
      <c r="P3" s="44">
        <v>6405.5</v>
      </c>
      <c r="Q3" s="44">
        <v>6405.5</v>
      </c>
      <c r="R3" s="44">
        <v>6856.8</v>
      </c>
      <c r="S3" s="44">
        <v>6856.8</v>
      </c>
      <c r="T3" s="44">
        <v>6856.8</v>
      </c>
      <c r="U3" s="44">
        <v>6856.8</v>
      </c>
      <c r="V3" s="44">
        <v>6856.8</v>
      </c>
      <c r="W3" s="44">
        <v>10715.75</v>
      </c>
      <c r="X3" s="44">
        <v>10715.75</v>
      </c>
      <c r="Y3" s="44">
        <v>10715.75</v>
      </c>
      <c r="Z3" s="44">
        <v>10715.75</v>
      </c>
      <c r="AA3" s="55"/>
      <c r="AB3" s="56"/>
      <c r="AC3" s="56"/>
      <c r="AD3" s="57"/>
      <c r="AE3" s="44"/>
      <c r="AF3" s="43"/>
      <c r="AG3" s="43"/>
      <c r="AH3" s="43"/>
      <c r="AI3" s="45"/>
      <c r="AJ3" s="44"/>
      <c r="AK3" s="43"/>
      <c r="AL3" s="43"/>
      <c r="AM3" s="45"/>
      <c r="AN3" s="44"/>
      <c r="AO3" s="43"/>
      <c r="AP3" s="43"/>
      <c r="AQ3" s="43"/>
      <c r="AR3" s="45"/>
      <c r="AS3" s="44"/>
      <c r="AT3" s="43"/>
      <c r="AU3" s="43"/>
      <c r="AV3" s="45"/>
      <c r="AW3" s="44"/>
      <c r="AX3" s="43"/>
      <c r="AY3" s="43"/>
      <c r="AZ3" s="45"/>
      <c r="BA3" s="44"/>
      <c r="BB3" s="43"/>
      <c r="BC3" s="43"/>
      <c r="BD3" s="43"/>
      <c r="BE3" s="45"/>
    </row>
    <row r="4" spans="1:57" s="42" customFormat="1" thickBot="1" x14ac:dyDescent="0.4">
      <c r="A4" s="42" t="s">
        <v>110</v>
      </c>
      <c r="B4" s="43">
        <v>60849</v>
      </c>
      <c r="C4" s="43">
        <v>61787.5</v>
      </c>
      <c r="D4" s="43">
        <v>64042</v>
      </c>
      <c r="E4" s="51">
        <v>59784</v>
      </c>
      <c r="F4" s="58">
        <v>4815.75</v>
      </c>
      <c r="G4" s="59">
        <v>4815.75</v>
      </c>
      <c r="H4" s="59">
        <v>4815.75</v>
      </c>
      <c r="I4" s="60">
        <v>4815.75</v>
      </c>
      <c r="J4" s="58">
        <v>9927.3799999999992</v>
      </c>
      <c r="K4" s="59">
        <v>9927.3799999999992</v>
      </c>
      <c r="L4" s="59">
        <v>9927.3799999999992</v>
      </c>
      <c r="M4" s="60">
        <v>9927.3799999999992</v>
      </c>
      <c r="N4" s="58">
        <f>15375.75*0.995</f>
        <v>15298.87125</v>
      </c>
      <c r="O4" s="58">
        <f t="shared" ref="O4:Q4" si="0">15375.75*0.995</f>
        <v>15298.87125</v>
      </c>
      <c r="P4" s="58">
        <f t="shared" si="0"/>
        <v>15298.87125</v>
      </c>
      <c r="Q4" s="58">
        <f t="shared" si="0"/>
        <v>15298.87125</v>
      </c>
      <c r="R4" s="58">
        <f>16511.2*0.985</f>
        <v>16263.532000000001</v>
      </c>
      <c r="S4" s="58">
        <f t="shared" ref="S4:V4" si="1">16511.2*0.985</f>
        <v>16263.532000000001</v>
      </c>
      <c r="T4" s="58">
        <f t="shared" si="1"/>
        <v>16263.532000000001</v>
      </c>
      <c r="U4" s="58">
        <f t="shared" si="1"/>
        <v>16263.532000000001</v>
      </c>
      <c r="V4" s="58">
        <f t="shared" si="1"/>
        <v>16263.532000000001</v>
      </c>
      <c r="W4" s="58">
        <f>25796.63*0.98</f>
        <v>25280.697400000001</v>
      </c>
      <c r="X4" s="58">
        <f>25796.63*0.979</f>
        <v>25254.90077</v>
      </c>
      <c r="Y4" s="58">
        <f>25796.63*0.978</f>
        <v>25229.104139999999</v>
      </c>
      <c r="Z4" s="58">
        <f>25796.63*0.976</f>
        <v>25177.510880000002</v>
      </c>
      <c r="AA4" s="58"/>
      <c r="AB4" s="59"/>
      <c r="AC4" s="59"/>
      <c r="AD4" s="60"/>
      <c r="AE4" s="44"/>
      <c r="AF4" s="43"/>
      <c r="AG4" s="43"/>
      <c r="AH4" s="43"/>
      <c r="AI4" s="45"/>
      <c r="AJ4" s="44"/>
      <c r="AK4" s="43"/>
      <c r="AL4" s="43"/>
      <c r="AM4" s="45"/>
      <c r="AN4" s="44"/>
      <c r="AO4" s="43"/>
      <c r="AP4" s="43"/>
      <c r="AQ4" s="43"/>
      <c r="AR4" s="45"/>
      <c r="AS4" s="44"/>
      <c r="AT4" s="43"/>
      <c r="AU4" s="43"/>
      <c r="AV4" s="45"/>
      <c r="AW4" s="44"/>
      <c r="AX4" s="43"/>
      <c r="AY4" s="43"/>
      <c r="AZ4" s="45"/>
      <c r="BA4" s="44"/>
      <c r="BB4" s="43"/>
      <c r="BC4" s="43"/>
      <c r="BD4" s="43"/>
      <c r="BE4" s="45"/>
    </row>
    <row r="6" spans="1:57" ht="14.45" x14ac:dyDescent="0.35">
      <c r="A6" t="s">
        <v>115</v>
      </c>
    </row>
    <row r="7" spans="1:57" ht="14.45" x14ac:dyDescent="0.35">
      <c r="A7" t="s">
        <v>116</v>
      </c>
    </row>
    <row r="8" spans="1:57" thickBot="1" x14ac:dyDescent="0.4"/>
    <row r="9" spans="1:57" s="32" customFormat="1" ht="14.45" x14ac:dyDescent="0.35">
      <c r="A9" s="32" t="s">
        <v>108</v>
      </c>
      <c r="B9" s="139">
        <v>2015</v>
      </c>
      <c r="C9" s="140"/>
      <c r="D9" s="140"/>
      <c r="E9" s="140"/>
      <c r="F9" s="141">
        <v>42385</v>
      </c>
      <c r="G9" s="142"/>
      <c r="H9" s="142"/>
      <c r="I9" s="143"/>
      <c r="J9" s="141">
        <v>42416</v>
      </c>
      <c r="K9" s="142"/>
      <c r="L9" s="142"/>
      <c r="M9" s="143"/>
      <c r="N9" s="144">
        <v>42445</v>
      </c>
      <c r="O9" s="145"/>
      <c r="P9" s="145"/>
      <c r="Q9" s="146"/>
      <c r="R9" s="144">
        <v>42476</v>
      </c>
      <c r="S9" s="145"/>
      <c r="T9" s="145"/>
      <c r="U9" s="145"/>
      <c r="V9" s="146"/>
      <c r="W9" s="144">
        <v>42506</v>
      </c>
      <c r="X9" s="145"/>
      <c r="Y9" s="145"/>
      <c r="Z9" s="146"/>
      <c r="AA9" s="144">
        <v>42537</v>
      </c>
      <c r="AB9" s="145"/>
      <c r="AC9" s="145"/>
      <c r="AD9" s="146"/>
      <c r="AE9" s="144">
        <v>42567</v>
      </c>
      <c r="AF9" s="145"/>
      <c r="AG9" s="145"/>
      <c r="AH9" s="145"/>
      <c r="AI9" s="146"/>
      <c r="AJ9" s="144">
        <v>42598</v>
      </c>
      <c r="AK9" s="145"/>
      <c r="AL9" s="145"/>
      <c r="AM9" s="146"/>
      <c r="AN9" s="144">
        <v>42629</v>
      </c>
      <c r="AO9" s="145"/>
      <c r="AP9" s="145"/>
      <c r="AQ9" s="145"/>
      <c r="AR9" s="146"/>
      <c r="AS9" s="144">
        <v>42659</v>
      </c>
      <c r="AT9" s="145"/>
      <c r="AU9" s="145"/>
      <c r="AV9" s="146"/>
      <c r="AW9" s="144">
        <v>42690</v>
      </c>
      <c r="AX9" s="145"/>
      <c r="AY9" s="145"/>
      <c r="AZ9" s="146"/>
      <c r="BA9" s="144">
        <v>42720</v>
      </c>
      <c r="BB9" s="145"/>
      <c r="BC9" s="145"/>
      <c r="BD9" s="145"/>
      <c r="BE9" s="146"/>
    </row>
    <row r="10" spans="1:57" ht="14.45" x14ac:dyDescent="0.35">
      <c r="B10" s="28" t="s">
        <v>48</v>
      </c>
      <c r="C10" s="28" t="s">
        <v>49</v>
      </c>
      <c r="D10" s="28" t="s">
        <v>50</v>
      </c>
      <c r="E10" s="33" t="s">
        <v>51</v>
      </c>
      <c r="F10" s="35" t="s">
        <v>52</v>
      </c>
      <c r="G10" s="28" t="s">
        <v>53</v>
      </c>
      <c r="H10" s="28" t="s">
        <v>54</v>
      </c>
      <c r="I10" s="36" t="s">
        <v>55</v>
      </c>
      <c r="J10" s="35" t="s">
        <v>56</v>
      </c>
      <c r="K10" s="28" t="s">
        <v>57</v>
      </c>
      <c r="L10" s="28" t="s">
        <v>58</v>
      </c>
      <c r="M10" s="36" t="s">
        <v>59</v>
      </c>
      <c r="N10" s="35" t="s">
        <v>60</v>
      </c>
      <c r="O10" s="28" t="s">
        <v>61</v>
      </c>
      <c r="P10" s="28" t="s">
        <v>62</v>
      </c>
      <c r="Q10" s="36" t="s">
        <v>63</v>
      </c>
      <c r="R10" s="35" t="s">
        <v>64</v>
      </c>
      <c r="S10" s="28" t="s">
        <v>65</v>
      </c>
      <c r="T10" s="28" t="s">
        <v>66</v>
      </c>
      <c r="U10" s="28" t="s">
        <v>67</v>
      </c>
      <c r="V10" s="36" t="s">
        <v>68</v>
      </c>
      <c r="W10" s="35" t="s">
        <v>69</v>
      </c>
      <c r="X10" s="28" t="s">
        <v>70</v>
      </c>
      <c r="Y10" s="28" t="s">
        <v>71</v>
      </c>
      <c r="Z10" s="36" t="s">
        <v>72</v>
      </c>
      <c r="AA10" s="35" t="s">
        <v>73</v>
      </c>
      <c r="AB10" s="28" t="s">
        <v>74</v>
      </c>
      <c r="AC10" s="28" t="s">
        <v>75</v>
      </c>
      <c r="AD10" s="36" t="s">
        <v>76</v>
      </c>
      <c r="AE10" s="35" t="s">
        <v>77</v>
      </c>
      <c r="AF10" s="28" t="s">
        <v>78</v>
      </c>
      <c r="AG10" s="28" t="s">
        <v>79</v>
      </c>
      <c r="AH10" s="28" t="s">
        <v>80</v>
      </c>
      <c r="AI10" s="36" t="s">
        <v>81</v>
      </c>
      <c r="AJ10" s="35" t="s">
        <v>82</v>
      </c>
      <c r="AK10" s="28" t="s">
        <v>83</v>
      </c>
      <c r="AL10" s="28" t="s">
        <v>84</v>
      </c>
      <c r="AM10" s="36" t="s">
        <v>85</v>
      </c>
      <c r="AN10" s="35" t="s">
        <v>86</v>
      </c>
      <c r="AO10" s="28" t="s">
        <v>87</v>
      </c>
      <c r="AP10" s="28" t="s">
        <v>88</v>
      </c>
      <c r="AQ10" s="28" t="s">
        <v>89</v>
      </c>
      <c r="AR10" s="36" t="s">
        <v>90</v>
      </c>
      <c r="AS10" s="35" t="s">
        <v>91</v>
      </c>
      <c r="AT10" s="28" t="s">
        <v>92</v>
      </c>
      <c r="AU10" s="28" t="s">
        <v>93</v>
      </c>
      <c r="AV10" s="36" t="s">
        <v>94</v>
      </c>
      <c r="AW10" s="35" t="s">
        <v>95</v>
      </c>
      <c r="AX10" s="28" t="s">
        <v>96</v>
      </c>
      <c r="AY10" s="28" t="s">
        <v>97</v>
      </c>
      <c r="AZ10" s="36" t="s">
        <v>98</v>
      </c>
      <c r="BA10" s="35" t="s">
        <v>99</v>
      </c>
      <c r="BB10" s="28" t="s">
        <v>100</v>
      </c>
      <c r="BC10" s="28" t="s">
        <v>101</v>
      </c>
      <c r="BD10" s="28" t="s">
        <v>102</v>
      </c>
      <c r="BE10" s="36" t="s">
        <v>103</v>
      </c>
    </row>
    <row r="11" spans="1:57" ht="14.45" x14ac:dyDescent="0.35">
      <c r="A11" t="s">
        <v>104</v>
      </c>
      <c r="B11" s="29">
        <f>B3/B4</f>
        <v>0.42135450048480666</v>
      </c>
      <c r="C11" s="29">
        <f t="shared" ref="C11:E11" si="2">C3/C4</f>
        <v>0.41623305684806799</v>
      </c>
      <c r="D11" s="29">
        <f t="shared" si="2"/>
        <v>0.41652353143249743</v>
      </c>
      <c r="E11" s="29">
        <f t="shared" si="2"/>
        <v>0.41391409072661578</v>
      </c>
      <c r="F11" s="29">
        <f>F3/F4</f>
        <v>0.41343508280122515</v>
      </c>
      <c r="G11" s="29">
        <f t="shared" ref="G11:BE11" si="3">G3/G4</f>
        <v>0.41343508280122515</v>
      </c>
      <c r="H11" s="29">
        <f t="shared" si="3"/>
        <v>0.41343508280122515</v>
      </c>
      <c r="I11" s="29">
        <f t="shared" si="3"/>
        <v>0.41343508280122515</v>
      </c>
      <c r="J11" s="29">
        <f t="shared" si="3"/>
        <v>0.4170032778034084</v>
      </c>
      <c r="K11" s="29">
        <f t="shared" si="3"/>
        <v>0.4170032778034084</v>
      </c>
      <c r="L11" s="29">
        <f t="shared" si="3"/>
        <v>0.4170032778034084</v>
      </c>
      <c r="M11" s="29">
        <f t="shared" si="3"/>
        <v>0.4170032778034084</v>
      </c>
      <c r="N11" s="29">
        <f t="shared" si="3"/>
        <v>0.41869101944367298</v>
      </c>
      <c r="O11" s="29">
        <f t="shared" si="3"/>
        <v>0.41869101944367298</v>
      </c>
      <c r="P11" s="29">
        <f t="shared" si="3"/>
        <v>0.41869101944367298</v>
      </c>
      <c r="Q11" s="29">
        <f t="shared" si="3"/>
        <v>0.41869101944367298</v>
      </c>
      <c r="R11" s="29">
        <f t="shared" si="3"/>
        <v>0.42160583568194165</v>
      </c>
      <c r="S11" s="29">
        <f t="shared" si="3"/>
        <v>0.42160583568194165</v>
      </c>
      <c r="T11" s="29">
        <f t="shared" si="3"/>
        <v>0.42160583568194165</v>
      </c>
      <c r="U11" s="29">
        <f t="shared" si="3"/>
        <v>0.42160583568194165</v>
      </c>
      <c r="V11" s="29">
        <f t="shared" si="3"/>
        <v>0.42160583568194165</v>
      </c>
      <c r="W11" s="29">
        <f t="shared" si="3"/>
        <v>0.42387082248767394</v>
      </c>
      <c r="X11" s="29">
        <f t="shared" si="3"/>
        <v>0.42430378553413733</v>
      </c>
      <c r="Y11" s="29">
        <f t="shared" si="3"/>
        <v>0.42473763398560377</v>
      </c>
      <c r="Z11" s="29">
        <f t="shared" si="3"/>
        <v>0.42560799798967258</v>
      </c>
      <c r="AA11" s="29" t="e">
        <f t="shared" si="3"/>
        <v>#DIV/0!</v>
      </c>
      <c r="AB11" s="29" t="e">
        <f t="shared" si="3"/>
        <v>#DIV/0!</v>
      </c>
      <c r="AC11" s="29" t="e">
        <f t="shared" si="3"/>
        <v>#DIV/0!</v>
      </c>
      <c r="AD11" s="29" t="e">
        <f t="shared" si="3"/>
        <v>#DIV/0!</v>
      </c>
      <c r="AE11" s="29" t="e">
        <f t="shared" si="3"/>
        <v>#DIV/0!</v>
      </c>
      <c r="AF11" s="29" t="e">
        <f t="shared" si="3"/>
        <v>#DIV/0!</v>
      </c>
      <c r="AG11" s="29" t="e">
        <f t="shared" si="3"/>
        <v>#DIV/0!</v>
      </c>
      <c r="AH11" s="29" t="e">
        <f t="shared" si="3"/>
        <v>#DIV/0!</v>
      </c>
      <c r="AI11" s="29" t="e">
        <f t="shared" si="3"/>
        <v>#DIV/0!</v>
      </c>
      <c r="AJ11" s="29" t="e">
        <f t="shared" si="3"/>
        <v>#DIV/0!</v>
      </c>
      <c r="AK11" s="29" t="e">
        <f t="shared" si="3"/>
        <v>#DIV/0!</v>
      </c>
      <c r="AL11" s="29" t="e">
        <f t="shared" si="3"/>
        <v>#DIV/0!</v>
      </c>
      <c r="AM11" s="29" t="e">
        <f t="shared" si="3"/>
        <v>#DIV/0!</v>
      </c>
      <c r="AN11" s="29" t="e">
        <f t="shared" si="3"/>
        <v>#DIV/0!</v>
      </c>
      <c r="AO11" s="29" t="e">
        <f t="shared" si="3"/>
        <v>#DIV/0!</v>
      </c>
      <c r="AP11" s="29" t="e">
        <f t="shared" si="3"/>
        <v>#DIV/0!</v>
      </c>
      <c r="AQ11" s="29" t="e">
        <f t="shared" si="3"/>
        <v>#DIV/0!</v>
      </c>
      <c r="AR11" s="29" t="e">
        <f t="shared" si="3"/>
        <v>#DIV/0!</v>
      </c>
      <c r="AS11" s="29" t="e">
        <f t="shared" si="3"/>
        <v>#DIV/0!</v>
      </c>
      <c r="AT11" s="29" t="e">
        <f t="shared" si="3"/>
        <v>#DIV/0!</v>
      </c>
      <c r="AU11" s="29" t="e">
        <f t="shared" si="3"/>
        <v>#DIV/0!</v>
      </c>
      <c r="AV11" s="29" t="e">
        <f t="shared" si="3"/>
        <v>#DIV/0!</v>
      </c>
      <c r="AW11" s="29" t="e">
        <f t="shared" si="3"/>
        <v>#DIV/0!</v>
      </c>
      <c r="AX11" s="29" t="e">
        <f t="shared" si="3"/>
        <v>#DIV/0!</v>
      </c>
      <c r="AY11" s="29" t="e">
        <f t="shared" si="3"/>
        <v>#DIV/0!</v>
      </c>
      <c r="AZ11" s="29" t="e">
        <f t="shared" si="3"/>
        <v>#DIV/0!</v>
      </c>
      <c r="BA11" s="29" t="e">
        <f t="shared" si="3"/>
        <v>#DIV/0!</v>
      </c>
      <c r="BB11" s="29" t="e">
        <f t="shared" si="3"/>
        <v>#DIV/0!</v>
      </c>
      <c r="BC11" s="29" t="e">
        <f t="shared" si="3"/>
        <v>#DIV/0!</v>
      </c>
      <c r="BD11" s="29" t="e">
        <f t="shared" si="3"/>
        <v>#DIV/0!</v>
      </c>
      <c r="BE11" s="29" t="e">
        <f t="shared" si="3"/>
        <v>#DIV/0!</v>
      </c>
    </row>
    <row r="12" spans="1:57" ht="14.45" x14ac:dyDescent="0.35">
      <c r="A12" t="s">
        <v>114</v>
      </c>
      <c r="B12" s="30">
        <f>B11/B13-1</f>
        <v>3.2250011543015766E-3</v>
      </c>
      <c r="C12" s="29">
        <f>(AVERAGE($B11:C11))/C13-1</f>
        <v>-2.8719555561016463E-3</v>
      </c>
      <c r="D12" s="29">
        <f>(AVERAGE($B11:D11))/D13-1</f>
        <v>-4.6737390751017127E-3</v>
      </c>
      <c r="E12" s="29">
        <f>(AVERAGE($B11:E11))/E13-1</f>
        <v>-7.1278693500073098E-3</v>
      </c>
      <c r="F12" s="63">
        <f>F11/F13-1</f>
        <v>-7.0642255202499893E-3</v>
      </c>
      <c r="G12" s="29">
        <f>(SUM($F3:G3)/SUM($F4:G4))/G13-1</f>
        <v>-7.0642255202499893E-3</v>
      </c>
      <c r="H12" s="29">
        <f>(SUM($F3:H3)/SUM($F4:H4))/H13-1</f>
        <v>-7.0642255202499893E-3</v>
      </c>
      <c r="I12" s="29">
        <f>(SUM($F3:I3)/SUM($F4:I4))/I13-1</f>
        <v>-7.0642255202499893E-3</v>
      </c>
      <c r="J12" s="29">
        <f>(SUM($F3:J3)/SUM($F4:J4))/J13-1</f>
        <v>-4.1497708195136207E-3</v>
      </c>
      <c r="K12" s="29">
        <f>(SUM($F3:K3)/SUM($F4:K4))/K13-1</f>
        <v>-2.7145879025908259E-3</v>
      </c>
      <c r="L12" s="29">
        <f>(SUM($F3:L3)/SUM($F4:L4))/L13-1</f>
        <v>-1.8604047008611291E-3</v>
      </c>
      <c r="M12" s="29">
        <f>(SUM($F3:M3)/SUM($F4:M4))/M13-1</f>
        <v>-1.2938063346848994E-3</v>
      </c>
      <c r="N12" s="29">
        <f>(SUM($F3:N3)/SUM($F4:N4))/N13-1</f>
        <v>1.1773799381686878E-4</v>
      </c>
      <c r="O12" s="29">
        <f>(SUM($F3:O3)/SUM($F4:O4))/O13-1</f>
        <v>1.0470902567227824E-3</v>
      </c>
      <c r="P12" s="29">
        <f>(SUM($F3:P3)/SUM($F4:P4))/P13-1</f>
        <v>1.7052847421650252E-3</v>
      </c>
      <c r="Q12" s="29">
        <f>(SUM($F3:Q3)/SUM($F4:Q4))/Q13-1</f>
        <v>2.1958866526912146E-3</v>
      </c>
      <c r="R12" s="29">
        <f>(SUM($F3:R3)/SUM($F4:R4))/R13-1</f>
        <v>3.4312672685985479E-3</v>
      </c>
      <c r="S12" s="29">
        <f>(SUM($F3:S3)/SUM($F4:S4))/S13-1</f>
        <v>4.4034874260761026E-3</v>
      </c>
      <c r="T12" s="29">
        <f>(SUM($F3:T3)/SUM($F4:T4))/T13-1</f>
        <v>5.1885406261027445E-3</v>
      </c>
      <c r="U12" s="29">
        <f>(SUM($F3:U3)/SUM($F4:U4))/U13-1</f>
        <v>5.8357297638433892E-3</v>
      </c>
      <c r="V12" s="29">
        <f>(SUM($F3:V3)/SUM($F4:V4))/V13-1</f>
        <v>6.3784391982590893E-3</v>
      </c>
      <c r="W12" s="29">
        <f>(SUM($F3:W3)/SUM($F4:W4))/W13-1</f>
        <v>7.6739401448757683E-3</v>
      </c>
      <c r="X12" s="29">
        <f>(SUM($F3:X3)/SUM($F4:X4))/X13-1</f>
        <v>8.8128101668791814E-3</v>
      </c>
      <c r="Y12" s="29">
        <f>(SUM($F3:Y3)/SUM($F4:Y4))/Y13-1</f>
        <v>9.8381699732430494E-3</v>
      </c>
      <c r="Z12" s="29">
        <f>(SUM($F3:Z3)/SUM($F4:Z4))/Z13-1</f>
        <v>1.0864905070296027E-2</v>
      </c>
      <c r="AA12" s="29">
        <f>(SUM($F3:AA3)/SUM($F4:AA4))/AA13-1</f>
        <v>1.0864905070296027E-2</v>
      </c>
      <c r="AB12" s="29">
        <f>(SUM($F3:AB3)/SUM($F4:AB4))/AB13-1</f>
        <v>1.0864905070296027E-2</v>
      </c>
      <c r="AC12" s="29">
        <f>(SUM($F3:AC3)/SUM($F4:AC4))/AC13-1</f>
        <v>1.0864905070296027E-2</v>
      </c>
      <c r="AD12" s="29">
        <f>(SUM($F3:AD3)/SUM($F4:AD4))/AD13-1</f>
        <v>1.0864905070296027E-2</v>
      </c>
      <c r="AE12" s="29">
        <f>(SUM($F3:AE3)/SUM($F4:AE4))/AE13-1</f>
        <v>1.0864905070296027E-2</v>
      </c>
      <c r="AF12" s="29">
        <f>(SUM($F3:AF3)/SUM($F4:AF4))/AF13-1</f>
        <v>1.0864905070296027E-2</v>
      </c>
      <c r="AG12" s="29">
        <f>(SUM($F3:AG3)/SUM($F4:AG4))/AG13-1</f>
        <v>1.0864905070296027E-2</v>
      </c>
      <c r="AH12" s="29">
        <f>(SUM($F3:AH3)/SUM($F4:AH4))/AH13-1</f>
        <v>1.0864905070296027E-2</v>
      </c>
      <c r="AI12" s="29">
        <f>(SUM($F3:AI3)/SUM($F4:AI4))/AI13-1</f>
        <v>1.0864905070296027E-2</v>
      </c>
      <c r="AJ12" s="29">
        <f>(SUM($F3:AJ3)/SUM($F4:AJ4))/AJ13-1</f>
        <v>1.0864905070296027E-2</v>
      </c>
      <c r="AK12" s="29">
        <f>(SUM($F3:AK3)/SUM($F4:AK4))/AK13-1</f>
        <v>1.0864905070296027E-2</v>
      </c>
      <c r="AL12" s="29">
        <f>(SUM($F3:AL3)/SUM($F4:AL4))/AL13-1</f>
        <v>1.0864905070296027E-2</v>
      </c>
      <c r="AM12" s="29">
        <f>(SUM($F3:AM3)/SUM($F4:AM4))/AM13-1</f>
        <v>1.0864905070296027E-2</v>
      </c>
      <c r="AN12" s="29">
        <f>(SUM($F3:AN3)/SUM($F4:AN4))/AN13-1</f>
        <v>1.0864905070296027E-2</v>
      </c>
      <c r="AO12" s="29">
        <f>(SUM($F3:AO3)/SUM($F4:AO4))/AO13-1</f>
        <v>1.0864905070296027E-2</v>
      </c>
      <c r="AP12" s="29">
        <f>(SUM($F3:AP3)/SUM($F4:AP4))/AP13-1</f>
        <v>1.0864905070296027E-2</v>
      </c>
      <c r="AQ12" s="29">
        <f>(SUM($F3:AQ3)/SUM($F4:AQ4))/AQ13-1</f>
        <v>1.0864905070296027E-2</v>
      </c>
      <c r="AR12" s="29">
        <f>(SUM($F3:AR3)/SUM($F4:AR4))/AR13-1</f>
        <v>1.0864905070296027E-2</v>
      </c>
      <c r="AS12" s="29">
        <f>(SUM($F3:AS3)/SUM($F4:AS4))/AS13-1</f>
        <v>1.0864905070296027E-2</v>
      </c>
      <c r="AT12" s="29">
        <f>(SUM($F3:AT3)/SUM($F4:AT4))/AT13-1</f>
        <v>1.0864905070296027E-2</v>
      </c>
      <c r="AU12" s="29">
        <f>(SUM($F3:AU3)/SUM($F4:AU4))/AU13-1</f>
        <v>1.0864905070296027E-2</v>
      </c>
      <c r="AV12" s="29">
        <f>(SUM($F3:AV3)/SUM($F4:AV4))/AV13-1</f>
        <v>1.0864905070296027E-2</v>
      </c>
      <c r="AW12" s="29">
        <f>(SUM($F3:AW3)/SUM($F4:AW4))/AW13-1</f>
        <v>1.0864905070296027E-2</v>
      </c>
      <c r="AX12" s="29">
        <f>(SUM($F3:AX3)/SUM($F4:AX4))/AX13-1</f>
        <v>1.0864905070296027E-2</v>
      </c>
      <c r="AY12" s="29">
        <f>(SUM($F3:AY3)/SUM($F4:AY4))/AY13-1</f>
        <v>1.0864905070296027E-2</v>
      </c>
      <c r="AZ12" s="29">
        <f>(SUM($F3:AZ3)/SUM($F4:AZ4))/AZ13-1</f>
        <v>1.0864905070296027E-2</v>
      </c>
      <c r="BA12" s="29">
        <f>(SUM($F3:BA3)/SUM($F4:BA4))/BA13-1</f>
        <v>1.0864905070296027E-2</v>
      </c>
      <c r="BB12" s="29">
        <f>(SUM($F3:BB3)/SUM($F4:BB4))/BB13-1</f>
        <v>1.0864905070296027E-2</v>
      </c>
      <c r="BC12" s="29">
        <f>(SUM($F3:BC3)/SUM($F4:BC4))/BC13-1</f>
        <v>1.0864905070296027E-2</v>
      </c>
      <c r="BD12" s="29">
        <f>(SUM($F3:BD3)/SUM($F4:BD4))/BD13-1</f>
        <v>1.0864905070296027E-2</v>
      </c>
      <c r="BE12" s="29">
        <f>(SUM($F3:BE3)/SUM($F4:BE4))/BE13-1</f>
        <v>1.0864905070296027E-2</v>
      </c>
    </row>
    <row r="13" spans="1:57" ht="14.45" x14ac:dyDescent="0.35">
      <c r="A13" t="s">
        <v>47</v>
      </c>
      <c r="B13" s="29">
        <v>0.42</v>
      </c>
      <c r="C13" s="29">
        <v>0.42</v>
      </c>
      <c r="D13" s="29">
        <v>0.42</v>
      </c>
      <c r="E13" s="34">
        <v>0.42</v>
      </c>
      <c r="F13" s="37">
        <f>AVERAGE(F11:Q11)</f>
        <v>0.41637646001610223</v>
      </c>
      <c r="G13" s="29">
        <f>F13</f>
        <v>0.41637646001610223</v>
      </c>
      <c r="H13" s="29">
        <f t="shared" ref="H13:BE13" si="4">G13</f>
        <v>0.41637646001610223</v>
      </c>
      <c r="I13" s="38">
        <f t="shared" si="4"/>
        <v>0.41637646001610223</v>
      </c>
      <c r="J13" s="37">
        <f t="shared" si="4"/>
        <v>0.41637646001610223</v>
      </c>
      <c r="K13" s="29">
        <f t="shared" si="4"/>
        <v>0.41637646001610223</v>
      </c>
      <c r="L13" s="29">
        <f t="shared" si="4"/>
        <v>0.41637646001610223</v>
      </c>
      <c r="M13" s="38">
        <f t="shared" si="4"/>
        <v>0.41637646001610223</v>
      </c>
      <c r="N13" s="37">
        <f t="shared" si="4"/>
        <v>0.41637646001610223</v>
      </c>
      <c r="O13" s="29">
        <f t="shared" si="4"/>
        <v>0.41637646001610223</v>
      </c>
      <c r="P13" s="29">
        <f t="shared" si="4"/>
        <v>0.41637646001610223</v>
      </c>
      <c r="Q13" s="38">
        <f t="shared" si="4"/>
        <v>0.41637646001610223</v>
      </c>
      <c r="R13" s="37">
        <f t="shared" si="4"/>
        <v>0.41637646001610223</v>
      </c>
      <c r="S13" s="29">
        <f t="shared" si="4"/>
        <v>0.41637646001610223</v>
      </c>
      <c r="T13" s="29">
        <f t="shared" si="4"/>
        <v>0.41637646001610223</v>
      </c>
      <c r="U13" s="29">
        <f t="shared" si="4"/>
        <v>0.41637646001610223</v>
      </c>
      <c r="V13" s="38">
        <f t="shared" si="4"/>
        <v>0.41637646001610223</v>
      </c>
      <c r="W13" s="37">
        <f t="shared" si="4"/>
        <v>0.41637646001610223</v>
      </c>
      <c r="X13" s="29">
        <f t="shared" si="4"/>
        <v>0.41637646001610223</v>
      </c>
      <c r="Y13" s="29">
        <f t="shared" si="4"/>
        <v>0.41637646001610223</v>
      </c>
      <c r="Z13" s="38">
        <f t="shared" si="4"/>
        <v>0.41637646001610223</v>
      </c>
      <c r="AA13" s="37">
        <f t="shared" si="4"/>
        <v>0.41637646001610223</v>
      </c>
      <c r="AB13" s="29">
        <f t="shared" si="4"/>
        <v>0.41637646001610223</v>
      </c>
      <c r="AC13" s="29">
        <f t="shared" si="4"/>
        <v>0.41637646001610223</v>
      </c>
      <c r="AD13" s="38">
        <f t="shared" si="4"/>
        <v>0.41637646001610223</v>
      </c>
      <c r="AE13" s="37">
        <f t="shared" si="4"/>
        <v>0.41637646001610223</v>
      </c>
      <c r="AF13" s="29">
        <f t="shared" si="4"/>
        <v>0.41637646001610223</v>
      </c>
      <c r="AG13" s="29">
        <f t="shared" si="4"/>
        <v>0.41637646001610223</v>
      </c>
      <c r="AH13" s="29">
        <f t="shared" si="4"/>
        <v>0.41637646001610223</v>
      </c>
      <c r="AI13" s="38">
        <f t="shared" si="4"/>
        <v>0.41637646001610223</v>
      </c>
      <c r="AJ13" s="37">
        <f t="shared" si="4"/>
        <v>0.41637646001610223</v>
      </c>
      <c r="AK13" s="29">
        <f t="shared" si="4"/>
        <v>0.41637646001610223</v>
      </c>
      <c r="AL13" s="29">
        <f t="shared" si="4"/>
        <v>0.41637646001610223</v>
      </c>
      <c r="AM13" s="38">
        <f t="shared" si="4"/>
        <v>0.41637646001610223</v>
      </c>
      <c r="AN13" s="37">
        <f t="shared" si="4"/>
        <v>0.41637646001610223</v>
      </c>
      <c r="AO13" s="29">
        <f t="shared" si="4"/>
        <v>0.41637646001610223</v>
      </c>
      <c r="AP13" s="29">
        <f t="shared" si="4"/>
        <v>0.41637646001610223</v>
      </c>
      <c r="AQ13" s="29">
        <f t="shared" si="4"/>
        <v>0.41637646001610223</v>
      </c>
      <c r="AR13" s="38">
        <f t="shared" si="4"/>
        <v>0.41637646001610223</v>
      </c>
      <c r="AS13" s="37">
        <f t="shared" si="4"/>
        <v>0.41637646001610223</v>
      </c>
      <c r="AT13" s="29">
        <f t="shared" si="4"/>
        <v>0.41637646001610223</v>
      </c>
      <c r="AU13" s="29">
        <f t="shared" si="4"/>
        <v>0.41637646001610223</v>
      </c>
      <c r="AV13" s="38">
        <f t="shared" si="4"/>
        <v>0.41637646001610223</v>
      </c>
      <c r="AW13" s="37">
        <f t="shared" si="4"/>
        <v>0.41637646001610223</v>
      </c>
      <c r="AX13" s="29">
        <f t="shared" si="4"/>
        <v>0.41637646001610223</v>
      </c>
      <c r="AY13" s="29">
        <f t="shared" si="4"/>
        <v>0.41637646001610223</v>
      </c>
      <c r="AZ13" s="38">
        <f t="shared" si="4"/>
        <v>0.41637646001610223</v>
      </c>
      <c r="BA13" s="37">
        <f t="shared" si="4"/>
        <v>0.41637646001610223</v>
      </c>
      <c r="BB13" s="29">
        <f t="shared" si="4"/>
        <v>0.41637646001610223</v>
      </c>
      <c r="BC13" s="29">
        <f t="shared" si="4"/>
        <v>0.41637646001610223</v>
      </c>
      <c r="BD13" s="29">
        <f t="shared" si="4"/>
        <v>0.41637646001610223</v>
      </c>
      <c r="BE13" s="38">
        <f t="shared" si="4"/>
        <v>0.41637646001610223</v>
      </c>
    </row>
    <row r="14" spans="1:57" thickBot="1" x14ac:dyDescent="0.4">
      <c r="A14" t="s">
        <v>105</v>
      </c>
      <c r="B14" s="29">
        <f>B11/B13-1</f>
        <v>3.2250011543015766E-3</v>
      </c>
      <c r="C14" s="29">
        <f t="shared" ref="C14:E14" si="5">C11/C13-1</f>
        <v>-8.9689122665047583E-3</v>
      </c>
      <c r="D14" s="29">
        <f t="shared" si="5"/>
        <v>-8.2773061131012904E-3</v>
      </c>
      <c r="E14" s="34">
        <f t="shared" si="5"/>
        <v>-1.4490260174724323E-2</v>
      </c>
      <c r="F14" s="39">
        <f>F11/F13-1</f>
        <v>-7.0642255202499893E-3</v>
      </c>
      <c r="G14" s="40">
        <f t="shared" ref="G14:BE14" si="6">G11/G13-1</f>
        <v>-7.0642255202499893E-3</v>
      </c>
      <c r="H14" s="40">
        <f t="shared" si="6"/>
        <v>-7.0642255202499893E-3</v>
      </c>
      <c r="I14" s="41">
        <f t="shared" si="6"/>
        <v>-7.0642255202499893E-3</v>
      </c>
      <c r="J14" s="39">
        <f t="shared" si="6"/>
        <v>1.5054112023573651E-3</v>
      </c>
      <c r="K14" s="40">
        <f t="shared" si="6"/>
        <v>1.5054112023573651E-3</v>
      </c>
      <c r="L14" s="40">
        <f t="shared" si="6"/>
        <v>1.5054112023573651E-3</v>
      </c>
      <c r="M14" s="41">
        <f t="shared" si="6"/>
        <v>1.5054112023573651E-3</v>
      </c>
      <c r="N14" s="39">
        <f t="shared" si="6"/>
        <v>5.5588143178921801E-3</v>
      </c>
      <c r="O14" s="40">
        <f t="shared" si="6"/>
        <v>5.5588143178921801E-3</v>
      </c>
      <c r="P14" s="40">
        <f t="shared" si="6"/>
        <v>5.5588143178921801E-3</v>
      </c>
      <c r="Q14" s="41">
        <f t="shared" si="6"/>
        <v>5.5588143178921801E-3</v>
      </c>
      <c r="R14" s="39">
        <f t="shared" si="6"/>
        <v>1.2559249064265421E-2</v>
      </c>
      <c r="S14" s="40">
        <f t="shared" si="6"/>
        <v>1.2559249064265421E-2</v>
      </c>
      <c r="T14" s="40">
        <f t="shared" si="6"/>
        <v>1.2559249064265421E-2</v>
      </c>
      <c r="U14" s="40">
        <f t="shared" si="6"/>
        <v>1.2559249064265421E-2</v>
      </c>
      <c r="V14" s="41">
        <f t="shared" si="6"/>
        <v>1.2559249064265421E-2</v>
      </c>
      <c r="W14" s="39">
        <f t="shared" si="6"/>
        <v>1.7999006166875775E-2</v>
      </c>
      <c r="X14" s="40">
        <f t="shared" si="6"/>
        <v>1.9038841719650756E-2</v>
      </c>
      <c r="Y14" s="40">
        <f t="shared" si="6"/>
        <v>2.0080803725499141E-2</v>
      </c>
      <c r="Z14" s="41">
        <f t="shared" si="6"/>
        <v>2.2171133241330132E-2</v>
      </c>
      <c r="AA14" s="39" t="e">
        <f t="shared" si="6"/>
        <v>#DIV/0!</v>
      </c>
      <c r="AB14" s="40" t="e">
        <f t="shared" si="6"/>
        <v>#DIV/0!</v>
      </c>
      <c r="AC14" s="40" t="e">
        <f t="shared" si="6"/>
        <v>#DIV/0!</v>
      </c>
      <c r="AD14" s="41" t="e">
        <f t="shared" si="6"/>
        <v>#DIV/0!</v>
      </c>
      <c r="AE14" s="39" t="e">
        <f t="shared" si="6"/>
        <v>#DIV/0!</v>
      </c>
      <c r="AF14" s="40" t="e">
        <f t="shared" si="6"/>
        <v>#DIV/0!</v>
      </c>
      <c r="AG14" s="40" t="e">
        <f t="shared" si="6"/>
        <v>#DIV/0!</v>
      </c>
      <c r="AH14" s="40" t="e">
        <f t="shared" si="6"/>
        <v>#DIV/0!</v>
      </c>
      <c r="AI14" s="41" t="e">
        <f t="shared" si="6"/>
        <v>#DIV/0!</v>
      </c>
      <c r="AJ14" s="39" t="e">
        <f t="shared" si="6"/>
        <v>#DIV/0!</v>
      </c>
      <c r="AK14" s="40" t="e">
        <f t="shared" si="6"/>
        <v>#DIV/0!</v>
      </c>
      <c r="AL14" s="40" t="e">
        <f t="shared" si="6"/>
        <v>#DIV/0!</v>
      </c>
      <c r="AM14" s="41" t="e">
        <f t="shared" si="6"/>
        <v>#DIV/0!</v>
      </c>
      <c r="AN14" s="39" t="e">
        <f t="shared" si="6"/>
        <v>#DIV/0!</v>
      </c>
      <c r="AO14" s="40" t="e">
        <f t="shared" si="6"/>
        <v>#DIV/0!</v>
      </c>
      <c r="AP14" s="40" t="e">
        <f t="shared" si="6"/>
        <v>#DIV/0!</v>
      </c>
      <c r="AQ14" s="40" t="e">
        <f t="shared" si="6"/>
        <v>#DIV/0!</v>
      </c>
      <c r="AR14" s="41" t="e">
        <f t="shared" si="6"/>
        <v>#DIV/0!</v>
      </c>
      <c r="AS14" s="39" t="e">
        <f t="shared" si="6"/>
        <v>#DIV/0!</v>
      </c>
      <c r="AT14" s="40" t="e">
        <f t="shared" si="6"/>
        <v>#DIV/0!</v>
      </c>
      <c r="AU14" s="40" t="e">
        <f t="shared" si="6"/>
        <v>#DIV/0!</v>
      </c>
      <c r="AV14" s="41" t="e">
        <f t="shared" si="6"/>
        <v>#DIV/0!</v>
      </c>
      <c r="AW14" s="39" t="e">
        <f t="shared" si="6"/>
        <v>#DIV/0!</v>
      </c>
      <c r="AX14" s="40" t="e">
        <f t="shared" si="6"/>
        <v>#DIV/0!</v>
      </c>
      <c r="AY14" s="40" t="e">
        <f t="shared" si="6"/>
        <v>#DIV/0!</v>
      </c>
      <c r="AZ14" s="41" t="e">
        <f t="shared" si="6"/>
        <v>#DIV/0!</v>
      </c>
      <c r="BA14" s="39" t="e">
        <f t="shared" si="6"/>
        <v>#DIV/0!</v>
      </c>
      <c r="BB14" s="40" t="e">
        <f t="shared" si="6"/>
        <v>#DIV/0!</v>
      </c>
      <c r="BC14" s="40" t="e">
        <f t="shared" si="6"/>
        <v>#DIV/0!</v>
      </c>
      <c r="BD14" s="40" t="e">
        <f t="shared" si="6"/>
        <v>#DIV/0!</v>
      </c>
      <c r="BE14" s="41" t="e">
        <f t="shared" si="6"/>
        <v>#DIV/0!</v>
      </c>
    </row>
    <row r="16" spans="1:57" ht="14.45" x14ac:dyDescent="0.35">
      <c r="F16" t="s">
        <v>112</v>
      </c>
    </row>
    <row r="17" spans="1:17" ht="14.45" x14ac:dyDescent="0.35">
      <c r="B17" s="28" t="s">
        <v>48</v>
      </c>
      <c r="C17" s="28" t="s">
        <v>49</v>
      </c>
      <c r="D17" s="28" t="s">
        <v>50</v>
      </c>
      <c r="E17" s="28" t="s">
        <v>51</v>
      </c>
      <c r="F17" s="31">
        <v>42385</v>
      </c>
      <c r="G17" s="31">
        <v>42416</v>
      </c>
      <c r="H17" s="31">
        <v>42445</v>
      </c>
      <c r="I17" s="31">
        <v>42476</v>
      </c>
      <c r="J17" s="31">
        <v>42506</v>
      </c>
      <c r="K17" s="31">
        <v>42537</v>
      </c>
      <c r="L17" s="31">
        <v>42567</v>
      </c>
      <c r="M17" s="31">
        <v>42598</v>
      </c>
      <c r="N17" s="31">
        <v>42629</v>
      </c>
      <c r="O17" s="31">
        <v>42659</v>
      </c>
      <c r="P17" s="31">
        <v>42690</v>
      </c>
      <c r="Q17" s="31">
        <v>42720</v>
      </c>
    </row>
    <row r="18" spans="1:17" ht="14.45" x14ac:dyDescent="0.35">
      <c r="A18" t="s">
        <v>106</v>
      </c>
      <c r="B18" s="29">
        <f>B11</f>
        <v>0.42135450048480666</v>
      </c>
      <c r="C18" s="29">
        <f t="shared" ref="C18:E18" si="7">C11</f>
        <v>0.41623305684806799</v>
      </c>
      <c r="D18" s="29">
        <f t="shared" si="7"/>
        <v>0.41652353143249743</v>
      </c>
      <c r="E18" s="29">
        <f t="shared" si="7"/>
        <v>0.41391409072661578</v>
      </c>
      <c r="F18" s="29">
        <f>SUM(F3:I3)/SUM(F4:I4)</f>
        <v>0.41343508280122515</v>
      </c>
      <c r="G18" s="29">
        <f>SUM(J3:M3)/SUM(J4:M4)</f>
        <v>0.4170032778034084</v>
      </c>
      <c r="H18" s="29">
        <f>SUM(N3:Q3)/SUM(N4:Q4)</f>
        <v>0.41869101944367298</v>
      </c>
      <c r="I18" s="29">
        <f>SUM(R3:V3)/SUM(R4:V4)</f>
        <v>0.42160583568194165</v>
      </c>
      <c r="J18" s="29">
        <f>SUM(W3:Z3)/SUM(W4:Z4)</f>
        <v>0.42462908871752669</v>
      </c>
      <c r="K18" s="29" t="e">
        <f>SUM(AA3:AD3)/SUM(AA4:AD4)</f>
        <v>#DIV/0!</v>
      </c>
      <c r="L18" s="29" t="e">
        <f>SUM(AE3:AI3)/SUM(AE4:AI4)</f>
        <v>#DIV/0!</v>
      </c>
      <c r="M18" s="29" t="e">
        <f>SUM(AJ3:AM3)/SUM(AJ4:AM5)</f>
        <v>#DIV/0!</v>
      </c>
      <c r="N18" s="29" t="e">
        <f>SUM(AN3:AR3)/SUM(AN4:AR4)</f>
        <v>#DIV/0!</v>
      </c>
      <c r="O18" s="29" t="e">
        <f>SUM(AS3:AV3)/SUM(AS4:AV4)</f>
        <v>#DIV/0!</v>
      </c>
      <c r="P18" s="29" t="e">
        <f>SUM(AW3:AZ3)/SUM(AW4:AZ4)</f>
        <v>#DIV/0!</v>
      </c>
      <c r="Q18" s="29" t="e">
        <f>SUM(BA3:BE3)/SUM(BA4:BE4)</f>
        <v>#DIV/0!</v>
      </c>
    </row>
    <row r="19" spans="1:17" ht="14.45" x14ac:dyDescent="0.35">
      <c r="A19" t="s">
        <v>114</v>
      </c>
      <c r="B19" s="30">
        <f>B18/B20-1</f>
        <v>3.2250011543015766E-3</v>
      </c>
      <c r="C19" s="29">
        <f>(AVERAGE($B18:C18))/C20-1</f>
        <v>-2.8719555561016463E-3</v>
      </c>
      <c r="D19" s="29">
        <f>(AVERAGE($B18:D18))/D20-1</f>
        <v>-4.6737390751017127E-3</v>
      </c>
      <c r="E19" s="29">
        <f>(AVERAGE($B18:E18))/E20-1</f>
        <v>-7.1278693500073098E-3</v>
      </c>
      <c r="F19" s="30">
        <f>F18/F20-1</f>
        <v>-7.0642255202499893E-3</v>
      </c>
      <c r="G19" s="29">
        <f>(SUM($F3:M3)/SUM($F4:M4))/G20-1</f>
        <v>-1.2938063346848994E-3</v>
      </c>
      <c r="H19" s="29">
        <f>(SUM($F3:N3)/SUM($F4:N4))/H20-1</f>
        <v>1.1773799381686878E-4</v>
      </c>
      <c r="I19" s="29">
        <f>(SUM($F3:O3)/SUM($F4:O4))/I20-1</f>
        <v>1.0470902567227824E-3</v>
      </c>
      <c r="J19" s="29">
        <f>(SUM($F3:P3)/SUM($F4:P4))/J20-1</f>
        <v>1.7052847421650252E-3</v>
      </c>
      <c r="K19" s="29">
        <f>(SUM($F3:Q3)/SUM($F4:Q4))/K20-1</f>
        <v>2.1958866526912146E-3</v>
      </c>
      <c r="L19" s="29">
        <f>(SUM($F3:R3)/SUM($F4:R4))/L20-1</f>
        <v>3.4312672685985479E-3</v>
      </c>
      <c r="M19" s="29">
        <f>(SUM($F3:S3)/SUM($F4:S4))/M20-1</f>
        <v>4.4034874260761026E-3</v>
      </c>
      <c r="N19" s="29">
        <f>(SUM($F3:T3)/SUM($F4:T4))/N20-1</f>
        <v>5.1885406261027445E-3</v>
      </c>
      <c r="O19" s="29">
        <f>(SUM($F3:U3)/SUM($F4:U4))/O20-1</f>
        <v>5.8357297638433892E-3</v>
      </c>
      <c r="P19" s="29">
        <f>(SUM($F3:V3)/SUM($F4:V4))/P20-1</f>
        <v>6.3784391982590893E-3</v>
      </c>
      <c r="Q19" s="29">
        <f>(SUM($F3:W3)/SUM($F4:W4))/Q20-1</f>
        <v>7.6739401448757683E-3</v>
      </c>
    </row>
    <row r="20" spans="1:17" ht="14.45" x14ac:dyDescent="0.35">
      <c r="A20" t="s">
        <v>47</v>
      </c>
      <c r="B20" s="29">
        <v>0.42</v>
      </c>
      <c r="C20" s="29">
        <v>0.42</v>
      </c>
      <c r="D20" s="29">
        <v>0.42</v>
      </c>
      <c r="E20" s="34">
        <v>0.42</v>
      </c>
      <c r="F20" s="29">
        <f>F13</f>
        <v>0.41637646001610223</v>
      </c>
      <c r="G20" s="29">
        <f>F20</f>
        <v>0.41637646001610223</v>
      </c>
      <c r="H20" s="29">
        <f t="shared" ref="H20:Q20" si="8">G20</f>
        <v>0.41637646001610223</v>
      </c>
      <c r="I20" s="29">
        <f t="shared" si="8"/>
        <v>0.41637646001610223</v>
      </c>
      <c r="J20" s="29">
        <f t="shared" si="8"/>
        <v>0.41637646001610223</v>
      </c>
      <c r="K20" s="29">
        <f t="shared" si="8"/>
        <v>0.41637646001610223</v>
      </c>
      <c r="L20" s="29">
        <f t="shared" si="8"/>
        <v>0.41637646001610223</v>
      </c>
      <c r="M20" s="29">
        <f t="shared" si="8"/>
        <v>0.41637646001610223</v>
      </c>
      <c r="N20" s="29">
        <f t="shared" si="8"/>
        <v>0.41637646001610223</v>
      </c>
      <c r="O20" s="29">
        <f t="shared" si="8"/>
        <v>0.41637646001610223</v>
      </c>
      <c r="P20" s="29">
        <f t="shared" si="8"/>
        <v>0.41637646001610223</v>
      </c>
      <c r="Q20" s="29">
        <f t="shared" si="8"/>
        <v>0.41637646001610223</v>
      </c>
    </row>
    <row r="21" spans="1:17" ht="14.45" x14ac:dyDescent="0.35">
      <c r="A21" t="s">
        <v>105</v>
      </c>
      <c r="B21" s="29">
        <f>B18/B20-1</f>
        <v>3.2250011543015766E-3</v>
      </c>
      <c r="C21" s="29">
        <f t="shared" ref="C21:E21" si="9">C18/C20-1</f>
        <v>-8.9689122665047583E-3</v>
      </c>
      <c r="D21" s="29">
        <f t="shared" si="9"/>
        <v>-8.2773061131012904E-3</v>
      </c>
      <c r="E21" s="29">
        <f t="shared" si="9"/>
        <v>-1.4490260174724323E-2</v>
      </c>
      <c r="F21" s="30">
        <f>F18/F20-1</f>
        <v>-7.0642255202499893E-3</v>
      </c>
      <c r="G21" s="30">
        <f t="shared" ref="G21:Q21" si="10">G18/G20-1</f>
        <v>1.5054112023573651E-3</v>
      </c>
      <c r="H21" s="30">
        <f t="shared" si="10"/>
        <v>5.5588143178921801E-3</v>
      </c>
      <c r="I21" s="30">
        <f t="shared" si="10"/>
        <v>1.2559249064265421E-2</v>
      </c>
      <c r="J21" s="30">
        <f t="shared" si="10"/>
        <v>1.9820113512433624E-2</v>
      </c>
      <c r="K21" s="30" t="e">
        <f t="shared" si="10"/>
        <v>#DIV/0!</v>
      </c>
      <c r="L21" s="30" t="e">
        <f t="shared" si="10"/>
        <v>#DIV/0!</v>
      </c>
      <c r="M21" s="30" t="e">
        <f t="shared" si="10"/>
        <v>#DIV/0!</v>
      </c>
      <c r="N21" s="30" t="e">
        <f t="shared" si="10"/>
        <v>#DIV/0!</v>
      </c>
      <c r="O21" s="30" t="e">
        <f t="shared" si="10"/>
        <v>#DIV/0!</v>
      </c>
      <c r="P21" s="30" t="e">
        <f t="shared" si="10"/>
        <v>#DIV/0!</v>
      </c>
      <c r="Q21" s="30" t="e">
        <f t="shared" si="10"/>
        <v>#DIV/0!</v>
      </c>
    </row>
  </sheetData>
  <mergeCells count="26">
    <mergeCell ref="AN9:AR9"/>
    <mergeCell ref="AS9:AV9"/>
    <mergeCell ref="AW9:AZ9"/>
    <mergeCell ref="BA9:BE9"/>
    <mergeCell ref="BA1:BE1"/>
    <mergeCell ref="AN1:AR1"/>
    <mergeCell ref="AS1:AV1"/>
    <mergeCell ref="AW1:AZ1"/>
    <mergeCell ref="B9:E9"/>
    <mergeCell ref="F9:I9"/>
    <mergeCell ref="J9:M9"/>
    <mergeCell ref="N9:Q9"/>
    <mergeCell ref="R9:V9"/>
    <mergeCell ref="W9:Z9"/>
    <mergeCell ref="AA9:AD9"/>
    <mergeCell ref="AE9:AI9"/>
    <mergeCell ref="AJ9:AM9"/>
    <mergeCell ref="AA1:AD1"/>
    <mergeCell ref="AE1:AI1"/>
    <mergeCell ref="AJ1:AM1"/>
    <mergeCell ref="W1:Z1"/>
    <mergeCell ref="B1:E1"/>
    <mergeCell ref="F1:I1"/>
    <mergeCell ref="J1:M1"/>
    <mergeCell ref="N1:Q1"/>
    <mergeCell ref="R1:V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X26"/>
  <sheetViews>
    <sheetView zoomScaleNormal="100" workbookViewId="0">
      <pane xSplit="1" ySplit="3" topLeftCell="G4" activePane="bottomRight" state="frozen"/>
      <selection pane="topRight" activeCell="B1" sqref="B1"/>
      <selection pane="bottomLeft" activeCell="A3" sqref="A3"/>
      <selection pane="bottomRight" activeCell="L5" sqref="L5"/>
    </sheetView>
  </sheetViews>
  <sheetFormatPr defaultColWidth="8.85546875" defaultRowHeight="15" x14ac:dyDescent="0.25"/>
  <cols>
    <col min="1" max="1" width="41.5703125" style="64" bestFit="1" customWidth="1"/>
    <col min="2" max="8" width="12.140625" style="64" customWidth="1"/>
    <col min="9" max="16" width="10.140625" style="64" bestFit="1" customWidth="1"/>
    <col min="17" max="20" width="11.140625" style="64" bestFit="1" customWidth="1"/>
    <col min="21" max="24" width="11" style="64" bestFit="1" customWidth="1"/>
    <col min="25" max="26" width="11.42578125" style="64" bestFit="1" customWidth="1"/>
    <col min="27" max="28" width="11.140625" style="64" bestFit="1" customWidth="1"/>
    <col min="29" max="29" width="10.42578125" style="64" bestFit="1" customWidth="1"/>
    <col min="30" max="31" width="10.140625" style="64" bestFit="1" customWidth="1"/>
    <col min="32" max="33" width="10.42578125" style="64" bestFit="1" customWidth="1"/>
    <col min="34" max="40" width="10.140625" style="64" bestFit="1" customWidth="1"/>
    <col min="41" max="41" width="10.42578125" style="64" bestFit="1" customWidth="1"/>
    <col min="42" max="43" width="10.140625" style="64" bestFit="1" customWidth="1"/>
    <col min="44" max="49" width="10.42578125" style="64" bestFit="1" customWidth="1"/>
    <col min="50" max="50" width="10.5703125" style="64" bestFit="1" customWidth="1"/>
    <col min="51" max="51" width="9.5703125" style="64" bestFit="1" customWidth="1"/>
    <col min="52" max="52" width="11.140625" style="64" bestFit="1" customWidth="1"/>
    <col min="53" max="53" width="10.140625" style="64" bestFit="1" customWidth="1"/>
    <col min="54" max="54" width="11" style="64" bestFit="1" customWidth="1"/>
    <col min="55" max="55" width="9.85546875" style="64" bestFit="1" customWidth="1"/>
    <col min="56" max="56" width="11.5703125" style="64" bestFit="1" customWidth="1"/>
    <col min="57" max="16384" width="8.85546875" style="64"/>
  </cols>
  <sheetData>
    <row r="1" spans="1:49" s="65" customFormat="1" ht="16.5" customHeight="1" thickBot="1" x14ac:dyDescent="0.3">
      <c r="B1" s="121" t="s">
        <v>222</v>
      </c>
      <c r="C1" s="121" t="s">
        <v>223</v>
      </c>
      <c r="D1" s="121" t="s">
        <v>275</v>
      </c>
      <c r="E1" s="121" t="s">
        <v>224</v>
      </c>
      <c r="F1" s="121" t="s">
        <v>276</v>
      </c>
      <c r="G1" s="121" t="s">
        <v>277</v>
      </c>
      <c r="H1" s="133" t="s">
        <v>278</v>
      </c>
      <c r="I1" s="121" t="s">
        <v>279</v>
      </c>
      <c r="J1" s="121" t="s">
        <v>280</v>
      </c>
      <c r="K1" s="121" t="s">
        <v>281</v>
      </c>
      <c r="L1" s="121" t="s">
        <v>282</v>
      </c>
      <c r="M1" s="121" t="s">
        <v>283</v>
      </c>
      <c r="N1" s="121" t="s">
        <v>284</v>
      </c>
      <c r="O1" s="121" t="s">
        <v>285</v>
      </c>
      <c r="P1" s="121" t="s">
        <v>286</v>
      </c>
      <c r="Q1" s="121" t="s">
        <v>287</v>
      </c>
      <c r="R1" s="121" t="s">
        <v>288</v>
      </c>
      <c r="S1" s="121" t="s">
        <v>289</v>
      </c>
      <c r="T1" s="121" t="s">
        <v>290</v>
      </c>
      <c r="U1" s="121" t="s">
        <v>291</v>
      </c>
      <c r="V1" s="121" t="s">
        <v>292</v>
      </c>
      <c r="W1" s="121" t="s">
        <v>293</v>
      </c>
      <c r="X1" s="121" t="s">
        <v>294</v>
      </c>
      <c r="Y1" s="121" t="s">
        <v>295</v>
      </c>
      <c r="Z1" s="121" t="s">
        <v>296</v>
      </c>
      <c r="AA1" s="121" t="s">
        <v>297</v>
      </c>
      <c r="AB1" s="121" t="s">
        <v>298</v>
      </c>
      <c r="AC1" s="121" t="s">
        <v>299</v>
      </c>
      <c r="AD1" s="121" t="s">
        <v>300</v>
      </c>
      <c r="AE1" s="121" t="s">
        <v>302</v>
      </c>
      <c r="AF1" s="121" t="s">
        <v>303</v>
      </c>
      <c r="AG1" s="121" t="s">
        <v>301</v>
      </c>
      <c r="AH1" s="121" t="s">
        <v>304</v>
      </c>
      <c r="AI1" s="121" t="s">
        <v>305</v>
      </c>
      <c r="AJ1" s="121" t="s">
        <v>306</v>
      </c>
      <c r="AK1" s="121" t="s">
        <v>307</v>
      </c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</row>
    <row r="2" spans="1:49" s="66" customFormat="1" thickBot="1" x14ac:dyDescent="0.4">
      <c r="A2" s="66" t="s">
        <v>108</v>
      </c>
      <c r="B2" s="153">
        <v>43116</v>
      </c>
      <c r="C2" s="151"/>
      <c r="D2" s="151"/>
      <c r="E2" s="152"/>
      <c r="F2" s="150">
        <v>43147</v>
      </c>
      <c r="G2" s="151"/>
      <c r="H2" s="151"/>
      <c r="I2" s="154"/>
      <c r="J2" s="147">
        <v>43175</v>
      </c>
      <c r="K2" s="148"/>
      <c r="L2" s="148"/>
      <c r="M2" s="149"/>
      <c r="N2" s="147">
        <v>43206</v>
      </c>
      <c r="O2" s="148"/>
      <c r="P2" s="148"/>
      <c r="Q2" s="148"/>
      <c r="R2" s="147">
        <v>43236</v>
      </c>
      <c r="S2" s="148"/>
      <c r="T2" s="148"/>
      <c r="U2" s="149"/>
      <c r="V2" s="147">
        <v>43267</v>
      </c>
      <c r="W2" s="148"/>
      <c r="X2" s="148"/>
      <c r="Y2" s="149"/>
      <c r="Z2" s="147">
        <v>43297</v>
      </c>
      <c r="AA2" s="148"/>
      <c r="AB2" s="148"/>
      <c r="AC2" s="149"/>
      <c r="AD2" s="147">
        <v>43328</v>
      </c>
      <c r="AE2" s="148"/>
      <c r="AF2" s="148"/>
      <c r="AG2" s="149"/>
      <c r="AH2" s="147">
        <v>43359</v>
      </c>
      <c r="AI2" s="148"/>
      <c r="AJ2" s="148"/>
      <c r="AK2" s="149"/>
      <c r="AL2" s="147">
        <v>43389</v>
      </c>
      <c r="AM2" s="148"/>
      <c r="AN2" s="148"/>
      <c r="AO2" s="149"/>
      <c r="AP2" s="147">
        <v>43420</v>
      </c>
      <c r="AQ2" s="148"/>
      <c r="AR2" s="148"/>
      <c r="AS2" s="149"/>
      <c r="AT2" s="147">
        <v>43450</v>
      </c>
      <c r="AU2" s="148"/>
      <c r="AV2" s="148"/>
      <c r="AW2" s="149"/>
    </row>
    <row r="3" spans="1:49" s="105" customFormat="1" ht="14.45" x14ac:dyDescent="0.35">
      <c r="B3" s="112" t="s">
        <v>225</v>
      </c>
      <c r="C3" s="113" t="s">
        <v>226</v>
      </c>
      <c r="D3" s="113" t="s">
        <v>227</v>
      </c>
      <c r="E3" s="114" t="s">
        <v>228</v>
      </c>
      <c r="F3" s="115" t="s">
        <v>229</v>
      </c>
      <c r="G3" s="113" t="s">
        <v>230</v>
      </c>
      <c r="H3" s="113" t="s">
        <v>231</v>
      </c>
      <c r="I3" s="116" t="s">
        <v>232</v>
      </c>
      <c r="J3" s="112" t="s">
        <v>233</v>
      </c>
      <c r="K3" s="113" t="s">
        <v>234</v>
      </c>
      <c r="L3" s="113" t="s">
        <v>235</v>
      </c>
      <c r="M3" s="114" t="s">
        <v>236</v>
      </c>
      <c r="N3" s="112" t="s">
        <v>237</v>
      </c>
      <c r="O3" s="113" t="s">
        <v>238</v>
      </c>
      <c r="P3" s="113" t="s">
        <v>239</v>
      </c>
      <c r="Q3" s="113" t="s">
        <v>240</v>
      </c>
      <c r="R3" s="112" t="s">
        <v>241</v>
      </c>
      <c r="S3" s="113" t="s">
        <v>242</v>
      </c>
      <c r="T3" s="113" t="s">
        <v>243</v>
      </c>
      <c r="U3" s="114" t="s">
        <v>244</v>
      </c>
      <c r="V3" s="118" t="s">
        <v>245</v>
      </c>
      <c r="W3" s="119" t="s">
        <v>246</v>
      </c>
      <c r="X3" s="119" t="s">
        <v>247</v>
      </c>
      <c r="Y3" s="114" t="s">
        <v>248</v>
      </c>
      <c r="Z3" s="112" t="s">
        <v>249</v>
      </c>
      <c r="AA3" s="113" t="s">
        <v>250</v>
      </c>
      <c r="AB3" s="113" t="s">
        <v>251</v>
      </c>
      <c r="AC3" s="114" t="s">
        <v>252</v>
      </c>
      <c r="AD3" s="112" t="s">
        <v>253</v>
      </c>
      <c r="AE3" s="113" t="s">
        <v>254</v>
      </c>
      <c r="AF3" s="113" t="s">
        <v>255</v>
      </c>
      <c r="AG3" s="114" t="s">
        <v>256</v>
      </c>
      <c r="AH3" s="112" t="s">
        <v>257</v>
      </c>
      <c r="AI3" s="113" t="s">
        <v>258</v>
      </c>
      <c r="AJ3" s="113" t="s">
        <v>259</v>
      </c>
      <c r="AK3" s="114" t="s">
        <v>260</v>
      </c>
      <c r="AL3" s="112" t="s">
        <v>261</v>
      </c>
      <c r="AM3" s="113" t="s">
        <v>262</v>
      </c>
      <c r="AN3" s="113" t="s">
        <v>263</v>
      </c>
      <c r="AO3" s="114" t="s">
        <v>264</v>
      </c>
      <c r="AP3" s="112" t="s">
        <v>265</v>
      </c>
      <c r="AQ3" s="113" t="s">
        <v>266</v>
      </c>
      <c r="AR3" s="116" t="s">
        <v>267</v>
      </c>
      <c r="AS3" s="114" t="s">
        <v>268</v>
      </c>
      <c r="AT3" s="112" t="s">
        <v>269</v>
      </c>
      <c r="AU3" s="113" t="s">
        <v>270</v>
      </c>
      <c r="AV3" s="113" t="s">
        <v>271</v>
      </c>
      <c r="AW3" s="114" t="s">
        <v>272</v>
      </c>
    </row>
    <row r="4" spans="1:49" s="68" customFormat="1" ht="14.45" customHeight="1" x14ac:dyDescent="0.25">
      <c r="A4" s="68" t="s">
        <v>117</v>
      </c>
      <c r="B4" s="82">
        <v>7747.18</v>
      </c>
      <c r="C4" s="78">
        <v>10308.91</v>
      </c>
      <c r="D4" s="78">
        <v>10801.85</v>
      </c>
      <c r="E4" s="80">
        <v>17771.75</v>
      </c>
      <c r="F4" s="81">
        <v>13532.91</v>
      </c>
      <c r="G4" s="78">
        <v>12650.93</v>
      </c>
      <c r="H4" s="78">
        <v>10728.79</v>
      </c>
      <c r="I4" s="79">
        <v>6743.9</v>
      </c>
      <c r="J4" s="82">
        <v>15061.96</v>
      </c>
      <c r="K4" s="78">
        <v>11239.99</v>
      </c>
      <c r="L4" s="78">
        <v>12976.73</v>
      </c>
      <c r="M4" s="80">
        <v>11549.32</v>
      </c>
      <c r="N4" s="82">
        <v>12411.7</v>
      </c>
      <c r="O4" s="78">
        <v>13512.99</v>
      </c>
      <c r="P4" s="78">
        <v>12913.37</v>
      </c>
      <c r="Q4" s="78">
        <v>16640.84</v>
      </c>
      <c r="R4" s="82">
        <v>11537.12479</v>
      </c>
      <c r="S4" s="78">
        <v>13489.06</v>
      </c>
      <c r="T4" s="78">
        <v>13175.215320000001</v>
      </c>
      <c r="U4" s="80">
        <v>19837.802309999999</v>
      </c>
      <c r="V4" s="82">
        <v>13295.711319999997</v>
      </c>
      <c r="W4" s="78">
        <v>10983.914339999999</v>
      </c>
      <c r="X4" s="78">
        <v>11170.254030000002</v>
      </c>
      <c r="Y4" s="80">
        <v>11873.29</v>
      </c>
      <c r="Z4" s="82">
        <v>8951.8119400000014</v>
      </c>
      <c r="AA4" s="78">
        <v>11818.416299999999</v>
      </c>
      <c r="AB4" s="78">
        <v>12748.349799999998</v>
      </c>
      <c r="AC4" s="80">
        <v>16561.337769999998</v>
      </c>
      <c r="AD4" s="82">
        <v>19709.186159999997</v>
      </c>
      <c r="AE4" s="78">
        <v>12499.26931</v>
      </c>
      <c r="AF4" s="78">
        <v>12127.084499999999</v>
      </c>
      <c r="AG4" s="80">
        <v>11709.774110000002</v>
      </c>
      <c r="AH4" s="82">
        <v>11525.928039999997</v>
      </c>
      <c r="AI4" s="78"/>
      <c r="AJ4" s="78"/>
      <c r="AK4" s="80"/>
      <c r="AL4" s="82"/>
      <c r="AM4" s="78"/>
      <c r="AN4" s="78"/>
      <c r="AO4" s="80"/>
      <c r="AP4" s="82"/>
      <c r="AQ4" s="82"/>
      <c r="AR4" s="78"/>
      <c r="AS4" s="80"/>
      <c r="AT4" s="82"/>
      <c r="AU4" s="78"/>
      <c r="AV4" s="78"/>
      <c r="AW4" s="80"/>
    </row>
    <row r="5" spans="1:49" s="68" customFormat="1" thickBot="1" x14ac:dyDescent="0.4">
      <c r="A5" s="68" t="s">
        <v>118</v>
      </c>
      <c r="B5" s="107">
        <f t="shared" ref="B5:AW5" si="0">SUM(B7:B9)</f>
        <v>12438.38</v>
      </c>
      <c r="C5" s="108">
        <f t="shared" si="0"/>
        <v>16228.25</v>
      </c>
      <c r="D5" s="108">
        <f t="shared" si="0"/>
        <v>16955.13</v>
      </c>
      <c r="E5" s="109">
        <f t="shared" si="0"/>
        <v>26441</v>
      </c>
      <c r="F5" s="107">
        <f t="shared" si="0"/>
        <v>22696.25</v>
      </c>
      <c r="G5" s="108">
        <f t="shared" si="0"/>
        <v>17082.38</v>
      </c>
      <c r="H5" s="108">
        <f t="shared" si="0"/>
        <v>18917.25</v>
      </c>
      <c r="I5" s="109">
        <f t="shared" si="0"/>
        <v>9894.25</v>
      </c>
      <c r="J5" s="107">
        <f t="shared" si="0"/>
        <v>25507.38</v>
      </c>
      <c r="K5" s="108">
        <f t="shared" si="0"/>
        <v>19507.25</v>
      </c>
      <c r="L5" s="108">
        <f t="shared" si="0"/>
        <v>19125.63</v>
      </c>
      <c r="M5" s="109">
        <f t="shared" si="0"/>
        <v>17906.75</v>
      </c>
      <c r="N5" s="107">
        <f t="shared" si="0"/>
        <v>20156</v>
      </c>
      <c r="O5" s="108">
        <f t="shared" si="0"/>
        <v>21683.25</v>
      </c>
      <c r="P5" s="108">
        <f t="shared" si="0"/>
        <v>22714</v>
      </c>
      <c r="Q5" s="109">
        <f t="shared" si="0"/>
        <v>26816.880000000001</v>
      </c>
      <c r="R5" s="107">
        <f t="shared" si="0"/>
        <v>18233.75</v>
      </c>
      <c r="S5" s="108">
        <f t="shared" si="0"/>
        <v>21299.25</v>
      </c>
      <c r="T5" s="108">
        <f t="shared" si="0"/>
        <v>21543.63</v>
      </c>
      <c r="U5" s="109">
        <f t="shared" si="0"/>
        <v>30296.13</v>
      </c>
      <c r="V5" s="107">
        <f t="shared" si="0"/>
        <v>24831.260000000002</v>
      </c>
      <c r="W5" s="108">
        <f t="shared" si="0"/>
        <v>18749.25</v>
      </c>
      <c r="X5" s="108">
        <f t="shared" si="0"/>
        <v>19953</v>
      </c>
      <c r="Y5" s="109">
        <f t="shared" si="0"/>
        <v>17855.25</v>
      </c>
      <c r="Z5" s="107">
        <f t="shared" si="0"/>
        <v>14527.38</v>
      </c>
      <c r="AA5" s="108">
        <f t="shared" si="0"/>
        <v>18385.75</v>
      </c>
      <c r="AB5" s="108">
        <f t="shared" si="0"/>
        <v>18471.13</v>
      </c>
      <c r="AC5" s="109">
        <f t="shared" si="0"/>
        <v>25163</v>
      </c>
      <c r="AD5" s="107">
        <f t="shared" si="0"/>
        <v>30674.25</v>
      </c>
      <c r="AE5" s="108">
        <f t="shared" si="0"/>
        <v>19062</v>
      </c>
      <c r="AF5" s="108">
        <f t="shared" si="0"/>
        <v>19145.75</v>
      </c>
      <c r="AG5" s="109">
        <f t="shared" si="0"/>
        <v>16645.38</v>
      </c>
      <c r="AH5" s="107">
        <f t="shared" si="0"/>
        <v>15680.38</v>
      </c>
      <c r="AI5" s="108">
        <f t="shared" si="0"/>
        <v>0</v>
      </c>
      <c r="AJ5" s="108">
        <f t="shared" si="0"/>
        <v>0</v>
      </c>
      <c r="AK5" s="109">
        <f t="shared" si="0"/>
        <v>0</v>
      </c>
      <c r="AL5" s="107">
        <f t="shared" si="0"/>
        <v>0</v>
      </c>
      <c r="AM5" s="108">
        <f t="shared" si="0"/>
        <v>0</v>
      </c>
      <c r="AN5" s="108">
        <f t="shared" si="0"/>
        <v>0</v>
      </c>
      <c r="AO5" s="109">
        <f t="shared" si="0"/>
        <v>0</v>
      </c>
      <c r="AP5" s="107">
        <f t="shared" si="0"/>
        <v>0</v>
      </c>
      <c r="AQ5" s="107">
        <f t="shared" si="0"/>
        <v>0</v>
      </c>
      <c r="AR5" s="108">
        <f t="shared" si="0"/>
        <v>0</v>
      </c>
      <c r="AS5" s="109">
        <f t="shared" si="0"/>
        <v>0</v>
      </c>
      <c r="AT5" s="107">
        <f t="shared" si="0"/>
        <v>0</v>
      </c>
      <c r="AU5" s="108">
        <f t="shared" si="0"/>
        <v>0</v>
      </c>
      <c r="AV5" s="108">
        <f t="shared" si="0"/>
        <v>0</v>
      </c>
      <c r="AW5" s="109">
        <f t="shared" si="0"/>
        <v>0</v>
      </c>
    </row>
    <row r="6" spans="1:49" s="67" customFormat="1" ht="14.45" x14ac:dyDescent="0.35">
      <c r="B6" s="70"/>
      <c r="C6" s="70"/>
      <c r="D6" s="70"/>
      <c r="E6" s="70"/>
      <c r="F6" s="70"/>
      <c r="G6" s="70"/>
      <c r="H6" s="70"/>
      <c r="I6" s="70"/>
    </row>
    <row r="7" spans="1:49" s="69" customFormat="1" ht="14.45" x14ac:dyDescent="0.35">
      <c r="A7" s="69" t="s">
        <v>115</v>
      </c>
      <c r="B7" s="72">
        <v>11927.25</v>
      </c>
      <c r="C7" s="72">
        <v>13869.5</v>
      </c>
      <c r="D7" s="72">
        <v>13905.25</v>
      </c>
      <c r="E7" s="72">
        <f>13909.25+9640.5</f>
        <v>23549.75</v>
      </c>
      <c r="F7" s="73">
        <v>17453.75</v>
      </c>
      <c r="G7" s="73">
        <v>13839.75</v>
      </c>
      <c r="H7" s="73">
        <v>13983.75</v>
      </c>
      <c r="I7" s="73">
        <v>9889.75</v>
      </c>
      <c r="J7" s="73">
        <v>17755.75</v>
      </c>
      <c r="K7" s="73">
        <v>13826</v>
      </c>
      <c r="L7" s="73">
        <v>13357</v>
      </c>
      <c r="M7" s="73">
        <v>13478.75</v>
      </c>
      <c r="N7" s="71">
        <v>14335.25</v>
      </c>
      <c r="O7" s="71">
        <v>14718.75</v>
      </c>
      <c r="P7" s="71">
        <v>15415.75</v>
      </c>
      <c r="Q7" s="71">
        <f>16258.25+3523.25</f>
        <v>19781.5</v>
      </c>
      <c r="R7" s="71">
        <v>12608</v>
      </c>
      <c r="S7" s="71">
        <v>16432.5</v>
      </c>
      <c r="T7" s="71">
        <v>16849.75</v>
      </c>
      <c r="U7" s="71">
        <f>16261.5+11399.5</f>
        <v>27661</v>
      </c>
      <c r="V7" s="71">
        <f>2861.75+15612.5</f>
        <v>18474.25</v>
      </c>
      <c r="W7" s="71">
        <v>14908.5</v>
      </c>
      <c r="X7" s="71">
        <v>14865</v>
      </c>
      <c r="Y7" s="71">
        <v>14955.75</v>
      </c>
      <c r="Z7" s="71">
        <v>13349.5</v>
      </c>
      <c r="AA7" s="71">
        <v>14998</v>
      </c>
      <c r="AB7" s="71">
        <v>14880.5</v>
      </c>
      <c r="AC7" s="71">
        <f>14602.25+6639</f>
        <v>21241.25</v>
      </c>
      <c r="AD7" s="71">
        <f>7742.25+14516.25</f>
        <v>22258.5</v>
      </c>
      <c r="AE7" s="71">
        <v>14649.75</v>
      </c>
      <c r="AF7" s="71">
        <v>14700.5</v>
      </c>
      <c r="AG7" s="71">
        <v>14182.75</v>
      </c>
      <c r="AH7" s="71">
        <v>14045</v>
      </c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</row>
    <row r="8" spans="1:49" s="69" customFormat="1" ht="14.45" x14ac:dyDescent="0.35">
      <c r="A8" s="69" t="s">
        <v>116</v>
      </c>
      <c r="B8" s="73">
        <v>340.75</v>
      </c>
      <c r="C8" s="73">
        <v>1572.5</v>
      </c>
      <c r="D8" s="73">
        <v>2033.25</v>
      </c>
      <c r="E8" s="73">
        <f>1926+1.5</f>
        <v>1927.5</v>
      </c>
      <c r="F8" s="73">
        <v>3495</v>
      </c>
      <c r="G8" s="73">
        <v>2161.75</v>
      </c>
      <c r="H8" s="73">
        <v>3289</v>
      </c>
      <c r="I8" s="73">
        <v>3</v>
      </c>
      <c r="J8" s="73">
        <v>5167.75</v>
      </c>
      <c r="K8" s="73">
        <v>3787.5</v>
      </c>
      <c r="L8" s="73">
        <v>3845.75</v>
      </c>
      <c r="M8" s="73">
        <v>2952</v>
      </c>
      <c r="N8" s="71">
        <v>3880.5</v>
      </c>
      <c r="O8" s="71">
        <v>4643</v>
      </c>
      <c r="P8" s="71">
        <v>4865.5</v>
      </c>
      <c r="Q8" s="71">
        <f>4690.25</f>
        <v>4690.25</v>
      </c>
      <c r="R8" s="71">
        <v>3750.5</v>
      </c>
      <c r="S8" s="71">
        <v>3244.5</v>
      </c>
      <c r="T8" s="71">
        <v>3129.25</v>
      </c>
      <c r="U8" s="71">
        <f>1756.75</f>
        <v>1756.75</v>
      </c>
      <c r="V8" s="71">
        <f>639.25+3598.75</f>
        <v>4238</v>
      </c>
      <c r="W8" s="71">
        <v>2560.5</v>
      </c>
      <c r="X8" s="71">
        <v>3392</v>
      </c>
      <c r="Y8" s="71">
        <v>1933</v>
      </c>
      <c r="Z8" s="71">
        <v>785.25</v>
      </c>
      <c r="AA8" s="71">
        <v>2258.5</v>
      </c>
      <c r="AB8" s="71">
        <v>2393.75</v>
      </c>
      <c r="AC8" s="71">
        <v>2614.5</v>
      </c>
      <c r="AD8" s="71">
        <f>2846.5+2764</f>
        <v>5610.5</v>
      </c>
      <c r="AE8" s="71">
        <v>2941.5</v>
      </c>
      <c r="AF8" s="71">
        <v>2963.5</v>
      </c>
      <c r="AG8" s="71">
        <v>1641.75</v>
      </c>
      <c r="AH8" s="71">
        <v>1090.25</v>
      </c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</row>
    <row r="9" spans="1:49" s="69" customFormat="1" ht="14.45" x14ac:dyDescent="0.35">
      <c r="A9" s="69" t="s">
        <v>119</v>
      </c>
      <c r="B9" s="73">
        <v>170.38</v>
      </c>
      <c r="C9" s="73">
        <v>786.25</v>
      </c>
      <c r="D9" s="73">
        <v>1016.63</v>
      </c>
      <c r="E9" s="73">
        <f>963+0.75</f>
        <v>963.75</v>
      </c>
      <c r="F9" s="73">
        <v>1747.5</v>
      </c>
      <c r="G9" s="73">
        <v>1080.8800000000001</v>
      </c>
      <c r="H9" s="73">
        <v>1644.5</v>
      </c>
      <c r="I9" s="73">
        <v>1.5</v>
      </c>
      <c r="J9" s="73">
        <v>2583.88</v>
      </c>
      <c r="K9" s="73">
        <v>1893.75</v>
      </c>
      <c r="L9" s="73">
        <v>1922.88</v>
      </c>
      <c r="M9" s="73">
        <v>1476</v>
      </c>
      <c r="N9" s="71">
        <v>1940.25</v>
      </c>
      <c r="O9" s="71">
        <v>2321.5</v>
      </c>
      <c r="P9" s="71">
        <v>2432.75</v>
      </c>
      <c r="Q9" s="71">
        <v>2345.13</v>
      </c>
      <c r="R9" s="71">
        <v>1875.25</v>
      </c>
      <c r="S9" s="71">
        <v>1622.25</v>
      </c>
      <c r="T9" s="71">
        <v>1564.63</v>
      </c>
      <c r="U9" s="71">
        <v>878.38</v>
      </c>
      <c r="V9" s="71">
        <f>319.63+1799.38</f>
        <v>2119.0100000000002</v>
      </c>
      <c r="W9" s="71">
        <v>1280.25</v>
      </c>
      <c r="X9" s="71">
        <v>1696</v>
      </c>
      <c r="Y9" s="71">
        <v>966.5</v>
      </c>
      <c r="Z9" s="71">
        <v>392.63</v>
      </c>
      <c r="AA9" s="71">
        <v>1129.25</v>
      </c>
      <c r="AB9" s="71">
        <v>1196.8800000000001</v>
      </c>
      <c r="AC9" s="71">
        <v>1307.25</v>
      </c>
      <c r="AD9" s="71">
        <f>1423.25+1382</f>
        <v>2805.25</v>
      </c>
      <c r="AE9" s="71">
        <v>1470.75</v>
      </c>
      <c r="AF9" s="71">
        <v>1481.75</v>
      </c>
      <c r="AG9" s="71">
        <v>820.88</v>
      </c>
      <c r="AH9" s="71">
        <v>545.13</v>
      </c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</row>
    <row r="10" spans="1:49" s="67" customFormat="1" thickBot="1" x14ac:dyDescent="0.4">
      <c r="B10" s="70"/>
      <c r="C10" s="70"/>
      <c r="D10" s="70"/>
      <c r="E10" s="70"/>
      <c r="F10" s="70"/>
      <c r="G10" s="70"/>
      <c r="H10" s="70"/>
      <c r="I10" s="70"/>
    </row>
    <row r="11" spans="1:49" s="66" customFormat="1" ht="14.45" customHeight="1" thickBot="1" x14ac:dyDescent="0.4">
      <c r="A11" s="66" t="s">
        <v>208</v>
      </c>
      <c r="B11" s="153">
        <f>B2</f>
        <v>43116</v>
      </c>
      <c r="C11" s="151"/>
      <c r="D11" s="151"/>
      <c r="E11" s="152"/>
      <c r="F11" s="153">
        <f>F2</f>
        <v>43147</v>
      </c>
      <c r="G11" s="151"/>
      <c r="H11" s="151"/>
      <c r="I11" s="152"/>
      <c r="J11" s="153">
        <f>J2</f>
        <v>43175</v>
      </c>
      <c r="K11" s="151"/>
      <c r="L11" s="151"/>
      <c r="M11" s="152"/>
      <c r="N11" s="147">
        <f>N2</f>
        <v>43206</v>
      </c>
      <c r="O11" s="148"/>
      <c r="P11" s="148"/>
      <c r="Q11" s="149"/>
      <c r="R11" s="150">
        <f>R2</f>
        <v>43236</v>
      </c>
      <c r="S11" s="151"/>
      <c r="T11" s="151"/>
      <c r="U11" s="152"/>
      <c r="V11" s="147">
        <f>V2</f>
        <v>43267</v>
      </c>
      <c r="W11" s="148"/>
      <c r="X11" s="148"/>
      <c r="Y11" s="149"/>
      <c r="Z11" s="147">
        <f>Z2</f>
        <v>43297</v>
      </c>
      <c r="AA11" s="148"/>
      <c r="AB11" s="148"/>
      <c r="AC11" s="149"/>
      <c r="AD11" s="147">
        <f>AD2</f>
        <v>43328</v>
      </c>
      <c r="AE11" s="148"/>
      <c r="AF11" s="148"/>
      <c r="AG11" s="149"/>
      <c r="AH11" s="147">
        <f>AH2</f>
        <v>43359</v>
      </c>
      <c r="AI11" s="148"/>
      <c r="AJ11" s="148"/>
      <c r="AK11" s="149"/>
      <c r="AL11" s="147">
        <f>AL2</f>
        <v>43389</v>
      </c>
      <c r="AM11" s="148"/>
      <c r="AN11" s="148"/>
      <c r="AO11" s="149"/>
      <c r="AP11" s="147">
        <f>AP2</f>
        <v>43420</v>
      </c>
      <c r="AQ11" s="148"/>
      <c r="AR11" s="148"/>
      <c r="AS11" s="149"/>
      <c r="AT11" s="147">
        <f>AT2</f>
        <v>43450</v>
      </c>
      <c r="AU11" s="148"/>
      <c r="AV11" s="148"/>
      <c r="AW11" s="149"/>
    </row>
    <row r="12" spans="1:49" s="105" customFormat="1" ht="14.45" x14ac:dyDescent="0.35">
      <c r="A12" s="106" t="s">
        <v>120</v>
      </c>
      <c r="B12" s="112" t="s">
        <v>225</v>
      </c>
      <c r="C12" s="113" t="s">
        <v>226</v>
      </c>
      <c r="D12" s="113" t="s">
        <v>227</v>
      </c>
      <c r="E12" s="114" t="s">
        <v>228</v>
      </c>
      <c r="F12" s="112" t="s">
        <v>229</v>
      </c>
      <c r="G12" s="113" t="s">
        <v>230</v>
      </c>
      <c r="H12" s="113" t="s">
        <v>231</v>
      </c>
      <c r="I12" s="114" t="s">
        <v>232</v>
      </c>
      <c r="J12" s="112" t="s">
        <v>233</v>
      </c>
      <c r="K12" s="113" t="s">
        <v>234</v>
      </c>
      <c r="L12" s="113" t="s">
        <v>235</v>
      </c>
      <c r="M12" s="114" t="s">
        <v>236</v>
      </c>
      <c r="N12" s="112" t="s">
        <v>237</v>
      </c>
      <c r="O12" s="113" t="s">
        <v>238</v>
      </c>
      <c r="P12" s="113" t="s">
        <v>239</v>
      </c>
      <c r="Q12" s="114" t="s">
        <v>240</v>
      </c>
      <c r="R12" s="112" t="s">
        <v>241</v>
      </c>
      <c r="S12" s="113" t="s">
        <v>242</v>
      </c>
      <c r="T12" s="113" t="s">
        <v>243</v>
      </c>
      <c r="U12" s="114" t="s">
        <v>244</v>
      </c>
      <c r="V12" s="118" t="s">
        <v>245</v>
      </c>
      <c r="W12" s="119" t="s">
        <v>246</v>
      </c>
      <c r="X12" s="119" t="s">
        <v>247</v>
      </c>
      <c r="Y12" s="114" t="s">
        <v>248</v>
      </c>
      <c r="Z12" s="112" t="s">
        <v>249</v>
      </c>
      <c r="AA12" s="113" t="s">
        <v>250</v>
      </c>
      <c r="AB12" s="113" t="s">
        <v>251</v>
      </c>
      <c r="AC12" s="114" t="s">
        <v>252</v>
      </c>
      <c r="AD12" s="112" t="s">
        <v>253</v>
      </c>
      <c r="AE12" s="113" t="s">
        <v>254</v>
      </c>
      <c r="AF12" s="113" t="s">
        <v>255</v>
      </c>
      <c r="AG12" s="114" t="s">
        <v>256</v>
      </c>
      <c r="AH12" s="115" t="s">
        <v>257</v>
      </c>
      <c r="AI12" s="113" t="s">
        <v>258</v>
      </c>
      <c r="AJ12" s="113" t="s">
        <v>259</v>
      </c>
      <c r="AK12" s="114" t="s">
        <v>260</v>
      </c>
      <c r="AL12" s="112" t="s">
        <v>261</v>
      </c>
      <c r="AM12" s="113" t="s">
        <v>262</v>
      </c>
      <c r="AN12" s="113" t="s">
        <v>263</v>
      </c>
      <c r="AO12" s="117" t="s">
        <v>264</v>
      </c>
      <c r="AP12" s="115" t="s">
        <v>265</v>
      </c>
      <c r="AQ12" s="113" t="s">
        <v>266</v>
      </c>
      <c r="AR12" s="116" t="s">
        <v>267</v>
      </c>
      <c r="AS12" s="114" t="s">
        <v>268</v>
      </c>
      <c r="AT12" s="115" t="s">
        <v>269</v>
      </c>
      <c r="AU12" s="113" t="s">
        <v>270</v>
      </c>
      <c r="AV12" s="113" t="s">
        <v>271</v>
      </c>
      <c r="AW12" s="114" t="s">
        <v>272</v>
      </c>
    </row>
    <row r="13" spans="1:49" s="67" customFormat="1" ht="14.45" x14ac:dyDescent="0.35">
      <c r="A13" s="67" t="s">
        <v>274</v>
      </c>
      <c r="B13" s="86">
        <f>IFERROR(B4/B5,"")</f>
        <v>0.62284477560582652</v>
      </c>
      <c r="C13" s="86">
        <f t="shared" ref="C13:AW13" si="1">IFERROR(C4/C5,"")</f>
        <v>0.63524471215318967</v>
      </c>
      <c r="D13" s="86">
        <f t="shared" si="1"/>
        <v>0.63708446942016961</v>
      </c>
      <c r="E13" s="86">
        <f t="shared" si="1"/>
        <v>0.67212851253734729</v>
      </c>
      <c r="F13" s="86">
        <f t="shared" si="1"/>
        <v>0.59626193754474854</v>
      </c>
      <c r="G13" s="86">
        <f t="shared" si="1"/>
        <v>0.74058357207836378</v>
      </c>
      <c r="H13" s="86">
        <f t="shared" si="1"/>
        <v>0.56714321584796945</v>
      </c>
      <c r="I13" s="86">
        <f t="shared" si="1"/>
        <v>0.68159789776890611</v>
      </c>
      <c r="J13" s="86">
        <f t="shared" si="1"/>
        <v>0.59049420207014591</v>
      </c>
      <c r="K13" s="86">
        <f t="shared" si="1"/>
        <v>0.57619551705135275</v>
      </c>
      <c r="L13" s="86">
        <f t="shared" si="1"/>
        <v>0.67849947949427014</v>
      </c>
      <c r="M13" s="86">
        <f t="shared" si="1"/>
        <v>0.64497019280438939</v>
      </c>
      <c r="N13" s="86">
        <f t="shared" si="1"/>
        <v>0.61578190117086729</v>
      </c>
      <c r="O13" s="86">
        <f t="shared" si="1"/>
        <v>0.62319947424855593</v>
      </c>
      <c r="P13" s="86">
        <f t="shared" si="1"/>
        <v>0.56852029585277808</v>
      </c>
      <c r="Q13" s="86">
        <f t="shared" si="1"/>
        <v>0.62053602059598278</v>
      </c>
      <c r="R13" s="86">
        <f>IFERROR(R4/R5,"")</f>
        <v>0.63273461520531982</v>
      </c>
      <c r="S13" s="86">
        <f t="shared" si="1"/>
        <v>0.63331150157869409</v>
      </c>
      <c r="T13" s="86">
        <f t="shared" si="1"/>
        <v>0.61155967309130355</v>
      </c>
      <c r="U13" s="86">
        <f t="shared" si="1"/>
        <v>0.65479657995922247</v>
      </c>
      <c r="V13" s="86">
        <f t="shared" si="1"/>
        <v>0.53544247533149725</v>
      </c>
      <c r="W13" s="86">
        <f t="shared" si="1"/>
        <v>0.58583219808792353</v>
      </c>
      <c r="X13" s="86">
        <f t="shared" si="1"/>
        <v>0.55982829800030076</v>
      </c>
      <c r="Y13" s="86">
        <f t="shared" si="1"/>
        <v>0.66497472732109608</v>
      </c>
      <c r="Z13" s="86">
        <f t="shared" si="1"/>
        <v>0.6162027798543166</v>
      </c>
      <c r="AA13" s="86">
        <f t="shared" si="1"/>
        <v>0.64280305671511895</v>
      </c>
      <c r="AB13" s="86">
        <f t="shared" si="1"/>
        <v>0.69017703843782152</v>
      </c>
      <c r="AC13" s="86">
        <f t="shared" si="1"/>
        <v>0.65816229265190951</v>
      </c>
      <c r="AD13" s="86">
        <f t="shared" si="1"/>
        <v>0.64253196606273988</v>
      </c>
      <c r="AE13" s="86">
        <f t="shared" si="1"/>
        <v>0.65571657276256423</v>
      </c>
      <c r="AF13" s="86">
        <f t="shared" si="1"/>
        <v>0.63340869383544651</v>
      </c>
      <c r="AG13" s="86">
        <f t="shared" si="1"/>
        <v>0.70348493756225461</v>
      </c>
      <c r="AH13" s="86">
        <f t="shared" si="1"/>
        <v>0.73505412751476673</v>
      </c>
      <c r="AI13" s="86" t="str">
        <f t="shared" si="1"/>
        <v/>
      </c>
      <c r="AJ13" s="86" t="str">
        <f t="shared" si="1"/>
        <v/>
      </c>
      <c r="AK13" s="86" t="str">
        <f t="shared" si="1"/>
        <v/>
      </c>
      <c r="AL13" s="86" t="str">
        <f t="shared" si="1"/>
        <v/>
      </c>
      <c r="AM13" s="86" t="str">
        <f t="shared" si="1"/>
        <v/>
      </c>
      <c r="AN13" s="86" t="str">
        <f t="shared" si="1"/>
        <v/>
      </c>
      <c r="AO13" s="86" t="str">
        <f t="shared" si="1"/>
        <v/>
      </c>
      <c r="AP13" s="86" t="str">
        <f t="shared" si="1"/>
        <v/>
      </c>
      <c r="AQ13" s="86" t="str">
        <f t="shared" si="1"/>
        <v/>
      </c>
      <c r="AR13" s="86" t="str">
        <f t="shared" si="1"/>
        <v/>
      </c>
      <c r="AS13" s="86" t="str">
        <f t="shared" si="1"/>
        <v/>
      </c>
      <c r="AT13" s="86" t="str">
        <f t="shared" si="1"/>
        <v/>
      </c>
      <c r="AU13" s="86" t="str">
        <f t="shared" si="1"/>
        <v/>
      </c>
      <c r="AV13" s="86" t="str">
        <f t="shared" si="1"/>
        <v/>
      </c>
      <c r="AW13" s="86" t="str">
        <f t="shared" si="1"/>
        <v/>
      </c>
    </row>
    <row r="14" spans="1:49" s="67" customFormat="1" ht="14.45" x14ac:dyDescent="0.35">
      <c r="A14" s="67" t="s">
        <v>114</v>
      </c>
      <c r="B14" s="83">
        <f>IFERROR((SUM($B4:B4)/SUM($B5:B5))/B15-1,"")</f>
        <v>1.6059992831690906E-2</v>
      </c>
      <c r="C14" s="83">
        <f>IFERROR((SUM($B4:C4)/SUM($B5:C5))/C15-1,"")</f>
        <v>2.7511272906505013E-2</v>
      </c>
      <c r="D14" s="83">
        <f>IFERROR((SUM($B4:D4)/SUM($B5:D5))/D15-1,"")</f>
        <v>3.1888603708457586E-2</v>
      </c>
      <c r="E14" s="83">
        <f>IFERROR((SUM($B4:E4)/SUM($B5:E5))/E15-1,"")</f>
        <v>5.5580022024249942E-2</v>
      </c>
      <c r="F14" s="83">
        <f>IFERROR((SUM($B4:F4)/SUM($B5:F5))/F15-1,"")</f>
        <v>3.5727737904917678E-2</v>
      </c>
      <c r="G14" s="83">
        <f>IFERROR((SUM($B4:G4)/SUM($B5:G5))/G15-1,"")</f>
        <v>6.2060007808421469E-2</v>
      </c>
      <c r="H14" s="83">
        <f>IFERROR((SUM($B4:H4)/SUM($B5:H5))/H15-1,"")</f>
        <v>4.2259019681395005E-2</v>
      </c>
      <c r="I14" s="83">
        <f>IFERROR((SUM($B4:I4)/SUM($B5:I5))/I15-1,"")</f>
        <v>4.7158292520727452E-2</v>
      </c>
      <c r="J14" s="83">
        <f>IFERROR((SUM($B4:J4)/SUM($B5:J5))/J15-1,"")</f>
        <v>3.4282968830390947E-2</v>
      </c>
      <c r="K14" s="83">
        <f>IFERROR((SUM($B4:K4)/SUM($B5:K5))/K15-1,"")</f>
        <v>2.4372885717057757E-2</v>
      </c>
      <c r="L14" s="83">
        <f>IFERROR((SUM($B4:L4)/SUM($B5:L5))/L15-1,"")</f>
        <v>3.2075487935371738E-2</v>
      </c>
      <c r="M14" s="83">
        <f>IFERROR((SUM($B4:M4)/SUM($B5:M5))/M15-1,"")</f>
        <v>3.3689924156319329E-2</v>
      </c>
      <c r="N14" s="83">
        <f>IFERROR((SUM($B4:N4)/SUM($B5:N5))/N15-1,"")</f>
        <v>3.1270453764952411E-2</v>
      </c>
      <c r="O14" s="83">
        <f>IFERROR((SUM($B4:O4)/SUM($B5:O5))/O15-1,"")</f>
        <v>3.0071139021504267E-2</v>
      </c>
      <c r="P14" s="83">
        <f>IFERROR((SUM($B4:P4)/SUM($B5:P5))/P15-1,"")</f>
        <v>2.1955720938134027E-2</v>
      </c>
      <c r="Q14" s="83">
        <f>IFERROR((SUM($B4:Q4)/SUM($B5:Q5))/Q15-1,"")</f>
        <v>2.1130726519523746E-2</v>
      </c>
      <c r="R14" s="83">
        <f>IFERROR((SUM($B4:R4)/SUM($B5:R5))/R15-1,"")</f>
        <v>2.1737748916874411E-2</v>
      </c>
      <c r="S14" s="83">
        <f>IFERROR((SUM($B4:S4)/SUM($B5:S5))/S15-1,"")</f>
        <v>2.2424236515058871E-2</v>
      </c>
      <c r="T14" s="83">
        <f>IFERROR((SUM($B4:T4)/SUM($B5:T5))/T15-1,"")</f>
        <v>2.1001541869285267E-2</v>
      </c>
      <c r="U14" s="83">
        <f>IFERROR((SUM($B4:U4)/SUM($B5:U5))/U15-1,"")</f>
        <v>2.4527157420655143E-2</v>
      </c>
      <c r="V14" s="83">
        <f>IFERROR((SUM($B4:V4)/SUM($B5:V5))/V15-1,"")</f>
        <v>1.5810103224183525E-2</v>
      </c>
      <c r="W14" s="83">
        <f>IFERROR((SUM($B4:W4)/SUM($B5:W5))/W15-1,"")</f>
        <v>1.3299357377854371E-2</v>
      </c>
      <c r="X14" s="83">
        <f>IFERROR((SUM($B4:X4)/SUM($B5:X5))/X15-1,"")</f>
        <v>9.0430911937626757E-3</v>
      </c>
      <c r="Y14" s="83">
        <f>IFERROR((SUM($B4:Y4)/SUM($B5:Y5))/Y15-1,"")</f>
        <v>1.1821126140039162E-2</v>
      </c>
      <c r="Z14" s="83">
        <f>IFERROR((SUM($B4:Z4)/SUM($B5:Z5))/Z15-1,"")</f>
        <v>1.1629989880141522E-2</v>
      </c>
      <c r="AA14" s="83">
        <f>IFERROR((SUM($B4:AA4)/SUM($B5:AA5))/AA15-1,"")</f>
        <v>1.2938438072378045E-2</v>
      </c>
      <c r="AB14" s="83">
        <f>IFERROR((SUM($B4:AB4)/SUM($B5:AB5))/AB15-1,"")</f>
        <v>1.6815206191275855E-2</v>
      </c>
      <c r="AC14" s="83">
        <f>IFERROR((SUM($B4:AC4)/SUM($B5:AC5))/AC15-1,"")</f>
        <v>1.9354781990605696E-2</v>
      </c>
      <c r="AD14" s="83">
        <f>IFERROR((SUM($B4:AD4)/SUM($B5:AD5))/AD15-1,"")</f>
        <v>2.0842987695243842E-2</v>
      </c>
      <c r="AE14" s="83">
        <f>IFERROR((SUM($B4:AE4)/SUM($B5:AE5))/AE15-1,"")</f>
        <v>2.2361489144573143E-2</v>
      </c>
      <c r="AF14" s="83">
        <f>IFERROR((SUM($B4:AF4)/SUM($B5:AF5))/AF15-1,"")</f>
        <v>2.2692514917963758E-2</v>
      </c>
      <c r="AG14" s="83">
        <f>IFERROR((SUM($B4:AG4)/SUM($B5:AG5))/AG15-1,"")</f>
        <v>2.5896828954758533E-2</v>
      </c>
      <c r="AH14" s="83">
        <f>IFERROR((SUM($B4:AH4)/SUM($B5:AH5))/AH15-1,"")</f>
        <v>2.9983641310146636E-2</v>
      </c>
      <c r="AI14" s="83">
        <f>IFERROR((SUM($B4:AI4)/SUM($B5:AI5))/AI15-1,"")</f>
        <v>2.9983641310146636E-2</v>
      </c>
      <c r="AJ14" s="83">
        <f>IFERROR((SUM($B4:AJ4)/SUM($B5:AJ5))/AJ15-1,"")</f>
        <v>2.9983641310146636E-2</v>
      </c>
      <c r="AK14" s="83">
        <f>IFERROR((SUM($B4:AK4)/SUM($B5:AK5))/AK15-1,"")</f>
        <v>2.9983641310146636E-2</v>
      </c>
      <c r="AL14" s="83">
        <f>IFERROR((SUM($B4:AL4)/SUM($B5:AL5))/AL15-1,"")</f>
        <v>2.9983641310146636E-2</v>
      </c>
      <c r="AM14" s="83">
        <f>IFERROR((SUM($B4:AM4)/SUM($B5:AM5))/AM15-1,"")</f>
        <v>2.9983641310146636E-2</v>
      </c>
      <c r="AN14" s="83">
        <f>IFERROR((SUM($B4:AN4)/SUM($B5:AN5))/AN15-1,"")</f>
        <v>2.9983641310146636E-2</v>
      </c>
      <c r="AO14" s="83">
        <f>IFERROR((SUM($B4:AO4)/SUM($B5:AO5))/AO15-1,"")</f>
        <v>2.9983641310146636E-2</v>
      </c>
      <c r="AP14" s="83">
        <f>IFERROR((SUM($B4:AP4)/SUM($B5:AP5))/AP15-1,"")</f>
        <v>2.9983641310146636E-2</v>
      </c>
      <c r="AQ14" s="83">
        <f>IFERROR((SUM($B4:AQ4)/SUM($B5:AQ5))/AQ15-1,"")</f>
        <v>2.9983641310146636E-2</v>
      </c>
      <c r="AR14" s="83">
        <f>IFERROR((SUM($B4:AR4)/SUM($B5:AR5))/AR15-1,"")</f>
        <v>2.9983641310146636E-2</v>
      </c>
      <c r="AS14" s="83">
        <f>IFERROR((SUM($B4:AS4)/SUM($B5:AS5))/AS15-1,"")</f>
        <v>2.9983641310146636E-2</v>
      </c>
      <c r="AT14" s="83">
        <f>IFERROR((SUM($B4:AT4)/SUM($B5:AT5))/AT15-1,"")</f>
        <v>2.9983641310146636E-2</v>
      </c>
      <c r="AU14" s="83">
        <f>IFERROR((SUM($B4:AU4)/SUM($B5:AU5))/AU15-1,"")</f>
        <v>2.9983641310146636E-2</v>
      </c>
      <c r="AV14" s="83">
        <f>IFERROR((SUM($B4:AV4)/SUM($B5:AV5))/AV15-1,"")</f>
        <v>2.9983641310146636E-2</v>
      </c>
      <c r="AW14" s="83">
        <f>IFERROR((SUM($B4:AW4)/SUM($B5:AW5))/AW15-1,"")</f>
        <v>2.9983641310146636E-2</v>
      </c>
    </row>
    <row r="15" spans="1:49" s="67" customFormat="1" ht="14.45" x14ac:dyDescent="0.35">
      <c r="A15" s="67" t="s">
        <v>47</v>
      </c>
      <c r="B15" s="74">
        <v>0.61299999999999999</v>
      </c>
      <c r="C15" s="75">
        <f t="shared" ref="C15:I15" si="2">B15</f>
        <v>0.61299999999999999</v>
      </c>
      <c r="D15" s="75">
        <f t="shared" si="2"/>
        <v>0.61299999999999999</v>
      </c>
      <c r="E15" s="76">
        <f t="shared" si="2"/>
        <v>0.61299999999999999</v>
      </c>
      <c r="F15" s="74">
        <f t="shared" si="2"/>
        <v>0.61299999999999999</v>
      </c>
      <c r="G15" s="75">
        <f t="shared" si="2"/>
        <v>0.61299999999999999</v>
      </c>
      <c r="H15" s="75">
        <f t="shared" si="2"/>
        <v>0.61299999999999999</v>
      </c>
      <c r="I15" s="76">
        <f t="shared" si="2"/>
        <v>0.61299999999999999</v>
      </c>
      <c r="J15" s="74">
        <f t="shared" ref="J15" si="3">I15</f>
        <v>0.61299999999999999</v>
      </c>
      <c r="K15" s="75">
        <f t="shared" ref="K15" si="4">J15</f>
        <v>0.61299999999999999</v>
      </c>
      <c r="L15" s="75">
        <f t="shared" ref="L15" si="5">K15</f>
        <v>0.61299999999999999</v>
      </c>
      <c r="M15" s="76">
        <f t="shared" ref="M15" si="6">L15</f>
        <v>0.61299999999999999</v>
      </c>
      <c r="N15" s="74">
        <f t="shared" ref="N15" si="7">M15</f>
        <v>0.61299999999999999</v>
      </c>
      <c r="O15" s="75">
        <f t="shared" ref="O15" si="8">N15</f>
        <v>0.61299999999999999</v>
      </c>
      <c r="P15" s="75">
        <f t="shared" ref="P15" si="9">O15</f>
        <v>0.61299999999999999</v>
      </c>
      <c r="Q15" s="76">
        <f t="shared" ref="Q15" si="10">P15</f>
        <v>0.61299999999999999</v>
      </c>
      <c r="R15" s="76">
        <f>Q15</f>
        <v>0.61299999999999999</v>
      </c>
      <c r="S15" s="76">
        <f t="shared" ref="S15" si="11">R15</f>
        <v>0.61299999999999999</v>
      </c>
      <c r="T15" s="76">
        <f t="shared" ref="T15" si="12">S15</f>
        <v>0.61299999999999999</v>
      </c>
      <c r="U15" s="76">
        <f t="shared" ref="U15" si="13">T15</f>
        <v>0.61299999999999999</v>
      </c>
      <c r="V15" s="76">
        <f t="shared" ref="V15" si="14">U15</f>
        <v>0.61299999999999999</v>
      </c>
      <c r="W15" s="76">
        <f t="shared" ref="W15" si="15">V15</f>
        <v>0.61299999999999999</v>
      </c>
      <c r="X15" s="76">
        <f t="shared" ref="X15" si="16">W15</f>
        <v>0.61299999999999999</v>
      </c>
      <c r="Y15" s="76">
        <f t="shared" ref="Y15" si="17">X15</f>
        <v>0.61299999999999999</v>
      </c>
      <c r="Z15" s="76">
        <f t="shared" ref="Z15" si="18">Y15</f>
        <v>0.61299999999999999</v>
      </c>
      <c r="AA15" s="76">
        <f t="shared" ref="AA15" si="19">Z15</f>
        <v>0.61299999999999999</v>
      </c>
      <c r="AB15" s="76">
        <f t="shared" ref="AB15" si="20">AA15</f>
        <v>0.61299999999999999</v>
      </c>
      <c r="AC15" s="76">
        <f t="shared" ref="AC15" si="21">AB15</f>
        <v>0.61299999999999999</v>
      </c>
      <c r="AD15" s="76">
        <f t="shared" ref="AD15" si="22">AC15</f>
        <v>0.61299999999999999</v>
      </c>
      <c r="AE15" s="76">
        <f t="shared" ref="AE15" si="23">AD15</f>
        <v>0.61299999999999999</v>
      </c>
      <c r="AF15" s="76">
        <f t="shared" ref="AF15" si="24">AE15</f>
        <v>0.61299999999999999</v>
      </c>
      <c r="AG15" s="76">
        <f t="shared" ref="AG15" si="25">AF15</f>
        <v>0.61299999999999999</v>
      </c>
      <c r="AH15" s="76">
        <f t="shared" ref="AH15" si="26">AG15</f>
        <v>0.61299999999999999</v>
      </c>
      <c r="AI15" s="76">
        <f t="shared" ref="AI15" si="27">AH15</f>
        <v>0.61299999999999999</v>
      </c>
      <c r="AJ15" s="76">
        <f t="shared" ref="AJ15:AT15" si="28">AI15</f>
        <v>0.61299999999999999</v>
      </c>
      <c r="AK15" s="76">
        <f t="shared" si="28"/>
        <v>0.61299999999999999</v>
      </c>
      <c r="AL15" s="76">
        <f t="shared" si="28"/>
        <v>0.61299999999999999</v>
      </c>
      <c r="AM15" s="76">
        <f t="shared" si="28"/>
        <v>0.61299999999999999</v>
      </c>
      <c r="AN15" s="76">
        <f t="shared" si="28"/>
        <v>0.61299999999999999</v>
      </c>
      <c r="AO15" s="76">
        <f t="shared" si="28"/>
        <v>0.61299999999999999</v>
      </c>
      <c r="AP15" s="76">
        <f t="shared" si="28"/>
        <v>0.61299999999999999</v>
      </c>
      <c r="AQ15" s="76">
        <f t="shared" si="28"/>
        <v>0.61299999999999999</v>
      </c>
      <c r="AR15" s="76">
        <f t="shared" si="28"/>
        <v>0.61299999999999999</v>
      </c>
      <c r="AS15" s="76">
        <f t="shared" si="28"/>
        <v>0.61299999999999999</v>
      </c>
      <c r="AT15" s="76">
        <f t="shared" si="28"/>
        <v>0.61299999999999999</v>
      </c>
      <c r="AU15" s="76">
        <f t="shared" ref="AU15" si="29">AT15</f>
        <v>0.61299999999999999</v>
      </c>
      <c r="AV15" s="76">
        <f t="shared" ref="AV15:AW15" si="30">AU15</f>
        <v>0.61299999999999999</v>
      </c>
      <c r="AW15" s="76">
        <f t="shared" si="30"/>
        <v>0.61299999999999999</v>
      </c>
    </row>
    <row r="16" spans="1:49" s="67" customFormat="1" thickBot="1" x14ac:dyDescent="0.4">
      <c r="A16" s="67" t="s">
        <v>105</v>
      </c>
      <c r="B16" s="89">
        <f>IFERROR(B13/B15-1,"")</f>
        <v>1.6059992831690906E-2</v>
      </c>
      <c r="C16" s="89">
        <f t="shared" ref="C16:AW16" si="31">IFERROR(C13/C15-1,"")</f>
        <v>3.6288274311891744E-2</v>
      </c>
      <c r="D16" s="89">
        <f t="shared" si="31"/>
        <v>3.9289509657699284E-2</v>
      </c>
      <c r="E16" s="89">
        <f t="shared" si="31"/>
        <v>9.645760609681453E-2</v>
      </c>
      <c r="F16" s="89">
        <f t="shared" si="31"/>
        <v>-2.7305158980834299E-2</v>
      </c>
      <c r="G16" s="89">
        <f t="shared" si="31"/>
        <v>0.20812980763191491</v>
      </c>
      <c r="H16" s="89">
        <f t="shared" si="31"/>
        <v>-7.4807151960898155E-2</v>
      </c>
      <c r="I16" s="89">
        <f t="shared" si="31"/>
        <v>0.11190521658875396</v>
      </c>
      <c r="J16" s="89">
        <f t="shared" si="31"/>
        <v>-3.6714189118848384E-2</v>
      </c>
      <c r="K16" s="89">
        <f t="shared" si="31"/>
        <v>-6.0039939557336441E-2</v>
      </c>
      <c r="L16" s="89">
        <f t="shared" si="31"/>
        <v>0.10685070064318136</v>
      </c>
      <c r="M16" s="89">
        <f t="shared" si="31"/>
        <v>5.2153658734729769E-2</v>
      </c>
      <c r="N16" s="89">
        <f t="shared" si="31"/>
        <v>4.5381748301260849E-3</v>
      </c>
      <c r="O16" s="89">
        <f t="shared" si="31"/>
        <v>1.6638620307595442E-2</v>
      </c>
      <c r="P16" s="89">
        <f t="shared" si="31"/>
        <v>-7.2560691920427245E-2</v>
      </c>
      <c r="Q16" s="89">
        <f t="shared" si="31"/>
        <v>1.2293671445322563E-2</v>
      </c>
      <c r="R16" s="89">
        <f t="shared" si="31"/>
        <v>3.2193499519281854E-2</v>
      </c>
      <c r="S16" s="89">
        <f t="shared" si="31"/>
        <v>3.3134586588408066E-2</v>
      </c>
      <c r="T16" s="89">
        <f t="shared" si="31"/>
        <v>-2.3496360663889382E-3</v>
      </c>
      <c r="U16" s="89">
        <f t="shared" si="31"/>
        <v>6.8183654093348256E-2</v>
      </c>
      <c r="V16" s="89">
        <f t="shared" si="31"/>
        <v>-0.12652124742006976</v>
      </c>
      <c r="W16" s="89">
        <f t="shared" si="31"/>
        <v>-4.431941584351784E-2</v>
      </c>
      <c r="X16" s="89">
        <f t="shared" si="31"/>
        <v>-8.6740133767861716E-2</v>
      </c>
      <c r="Y16" s="89">
        <f t="shared" si="31"/>
        <v>8.4787483394936469E-2</v>
      </c>
      <c r="Z16" s="89">
        <f t="shared" si="31"/>
        <v>5.2247632207449435E-3</v>
      </c>
      <c r="AA16" s="89">
        <f t="shared" si="31"/>
        <v>4.8618363319933078E-2</v>
      </c>
      <c r="AB16" s="89">
        <f t="shared" si="31"/>
        <v>0.12590055210085072</v>
      </c>
      <c r="AC16" s="89">
        <f t="shared" si="31"/>
        <v>7.3674213135252131E-2</v>
      </c>
      <c r="AD16" s="89">
        <f t="shared" si="31"/>
        <v>4.8176127345415765E-2</v>
      </c>
      <c r="AE16" s="89">
        <f t="shared" si="31"/>
        <v>6.9684458013971051E-2</v>
      </c>
      <c r="AF16" s="89">
        <f t="shared" si="31"/>
        <v>3.329313839387682E-2</v>
      </c>
      <c r="AG16" s="89">
        <f t="shared" si="31"/>
        <v>0.14761001233646764</v>
      </c>
      <c r="AH16" s="89">
        <f t="shared" si="31"/>
        <v>0.19910950654937487</v>
      </c>
      <c r="AI16" s="89" t="str">
        <f t="shared" si="31"/>
        <v/>
      </c>
      <c r="AJ16" s="89" t="str">
        <f t="shared" si="31"/>
        <v/>
      </c>
      <c r="AK16" s="89" t="str">
        <f t="shared" si="31"/>
        <v/>
      </c>
      <c r="AL16" s="89" t="str">
        <f t="shared" si="31"/>
        <v/>
      </c>
      <c r="AM16" s="89" t="str">
        <f t="shared" si="31"/>
        <v/>
      </c>
      <c r="AN16" s="89" t="str">
        <f t="shared" si="31"/>
        <v/>
      </c>
      <c r="AO16" s="89" t="str">
        <f t="shared" si="31"/>
        <v/>
      </c>
      <c r="AP16" s="89" t="str">
        <f t="shared" si="31"/>
        <v/>
      </c>
      <c r="AQ16" s="89" t="str">
        <f t="shared" si="31"/>
        <v/>
      </c>
      <c r="AR16" s="89" t="str">
        <f t="shared" si="31"/>
        <v/>
      </c>
      <c r="AS16" s="89" t="str">
        <f t="shared" si="31"/>
        <v/>
      </c>
      <c r="AT16" s="89" t="str">
        <f t="shared" si="31"/>
        <v/>
      </c>
      <c r="AU16" s="89" t="str">
        <f t="shared" si="31"/>
        <v/>
      </c>
      <c r="AV16" s="89" t="str">
        <f t="shared" si="31"/>
        <v/>
      </c>
      <c r="AW16" s="89" t="str">
        <f t="shared" si="31"/>
        <v/>
      </c>
    </row>
    <row r="17" spans="1:50" s="67" customFormat="1" thickBot="1" x14ac:dyDescent="0.4">
      <c r="B17" s="70"/>
      <c r="C17" s="70"/>
      <c r="D17" s="70"/>
      <c r="E17" s="70"/>
      <c r="F17" s="70"/>
      <c r="G17" s="70"/>
      <c r="H17" s="70"/>
      <c r="I17" s="70"/>
    </row>
    <row r="18" spans="1:50" s="67" customFormat="1" thickBot="1" x14ac:dyDescent="0.4">
      <c r="B18" s="94">
        <v>43116</v>
      </c>
      <c r="C18" s="98">
        <v>43147</v>
      </c>
      <c r="D18" s="98">
        <v>43175</v>
      </c>
      <c r="E18" s="98">
        <v>43206</v>
      </c>
      <c r="F18" s="98">
        <v>43236</v>
      </c>
      <c r="G18" s="98">
        <v>43267</v>
      </c>
      <c r="H18" s="98">
        <v>43297</v>
      </c>
      <c r="I18" s="98">
        <v>43328</v>
      </c>
      <c r="J18" s="98">
        <v>43359</v>
      </c>
      <c r="K18" s="98">
        <v>43389</v>
      </c>
      <c r="L18" s="98">
        <v>43420</v>
      </c>
      <c r="M18" s="99">
        <v>43450</v>
      </c>
      <c r="O18" s="135"/>
      <c r="P18" s="135"/>
      <c r="Q18" s="136"/>
      <c r="R18" s="137"/>
      <c r="S18" s="137"/>
      <c r="T18" s="137"/>
    </row>
    <row r="19" spans="1:50" s="67" customFormat="1" ht="14.45" x14ac:dyDescent="0.35">
      <c r="A19" s="67" t="s">
        <v>273</v>
      </c>
      <c r="B19" s="104">
        <f>IFERROR(SUM(B4:E4)/SUM(B5:E5),"")</f>
        <v>0.64707055350086518</v>
      </c>
      <c r="C19" s="95">
        <f>IFERROR(SUM(F4:I4)/SUM(F5:I5),"")</f>
        <v>0.63648414137719234</v>
      </c>
      <c r="D19" s="95">
        <f>IFERROR(SUM(J4:M4)/SUM(J5:M5),"")</f>
        <v>0.6194985045768272</v>
      </c>
      <c r="E19" s="95">
        <f>IFERROR(SUM(N4:Q4)/SUM(N5:Q5),"")</f>
        <v>0.60718858559137445</v>
      </c>
      <c r="F19" s="95">
        <f>IFERROR(SUM(R4:U4)/SUM(R5:U5),"")</f>
        <v>0.63519152119296818</v>
      </c>
      <c r="G19" s="95">
        <f>IFERROR(SUM(V4:Y4)/SUM(V5:Y5),"")</f>
        <v>0.58144600912951616</v>
      </c>
      <c r="H19" s="95">
        <f>IFERROR(SUM(Z4:AC4)/SUM(Z5:AC5),"")</f>
        <v>0.65423525035383367</v>
      </c>
      <c r="I19" s="95">
        <f>IFERROR(SUM(AD4:AG4)/SUM(AD5:AG5),"")</f>
        <v>0.65529090310027027</v>
      </c>
      <c r="J19" s="95">
        <f>IFERROR(SUM(AH4:AK4)/SUM(AH5:AK5),"")</f>
        <v>0.73505412751476673</v>
      </c>
      <c r="K19" s="95" t="str">
        <f>IFERROR(SUM(AL4:AO4)/SUM(AL5:AO5),"")</f>
        <v/>
      </c>
      <c r="L19" s="95" t="str">
        <f>IFERROR(SUM(AP4:AS4)/SUM(AP5:AS5),"")</f>
        <v/>
      </c>
      <c r="M19" s="95" t="str">
        <f>IFERROR(SUM(AT4:AW4)/SUM(AT5:AW5),"")</f>
        <v/>
      </c>
      <c r="O19" s="135"/>
      <c r="P19" s="135"/>
      <c r="Q19" s="134"/>
      <c r="R19" s="137"/>
      <c r="S19" s="137"/>
      <c r="T19" s="137"/>
    </row>
    <row r="20" spans="1:50" s="67" customFormat="1" ht="14.45" x14ac:dyDescent="0.35">
      <c r="A20" s="67" t="s">
        <v>114</v>
      </c>
      <c r="B20" s="88">
        <f>IFERROR(B19/B21-1,"")</f>
        <v>5.5580022024249942E-2</v>
      </c>
      <c r="C20" s="83">
        <f>IFERROR((SUM($B4:I4)/SUM($B5:I5))/C21-1,"")</f>
        <v>4.7158292520727452E-2</v>
      </c>
      <c r="D20" s="83">
        <f>IFERROR((SUM($B4:M4)/SUM($B5:M5))/D21-1,"")</f>
        <v>3.3689924156319329E-2</v>
      </c>
      <c r="E20" s="83">
        <f>IFERROR((SUM($B4:Q4)/SUM($B5:Q5))/E21-1,"")</f>
        <v>2.1130726519523746E-2</v>
      </c>
      <c r="F20" s="83">
        <f>IFERROR((SUM($B4:U4)/SUM($B5:U5))/F21-1,"")</f>
        <v>2.4527157420655143E-2</v>
      </c>
      <c r="G20" s="83">
        <f>IFERROR((SUM($B4:Y4)/SUM($B5:Y5))/G21-1,"")</f>
        <v>1.1821126140039162E-2</v>
      </c>
      <c r="H20" s="83">
        <f>IFERROR((SUM($B4:AC4)/SUM($B5:AC5))/H21-1,"")</f>
        <v>1.9354781990605696E-2</v>
      </c>
      <c r="I20" s="83">
        <f>IFERROR((SUM($B4:AG4)/SUM($B5:AG5))/I21-1,"")</f>
        <v>2.5896828954758533E-2</v>
      </c>
      <c r="J20" s="83">
        <f>IFERROR((SUM($B4:AK4)/SUM($B5:AK5))/J21-1,"")</f>
        <v>2.9983641310146636E-2</v>
      </c>
      <c r="K20" s="83">
        <f>IFERROR((SUM($B4:AO4)/SUM($B5:AO5))/K21-1,"")</f>
        <v>2.9983641310146636E-2</v>
      </c>
      <c r="L20" s="83">
        <f>IFERROR((SUM($B4:AS4)/SUM($B5:AS5))/L21-1,"")</f>
        <v>2.9983641310146636E-2</v>
      </c>
      <c r="M20" s="83">
        <f>IFERROR((SUM($B4:AW4)/SUM($B5:AW5))/M21-1,"")</f>
        <v>2.9983641310146636E-2</v>
      </c>
      <c r="Q20" s="136"/>
      <c r="R20" s="138"/>
      <c r="S20" s="138"/>
    </row>
    <row r="21" spans="1:50" s="67" customFormat="1" ht="14.45" x14ac:dyDescent="0.35">
      <c r="A21" s="67" t="s">
        <v>47</v>
      </c>
      <c r="B21" s="86">
        <f>B15</f>
        <v>0.61299999999999999</v>
      </c>
      <c r="C21" s="83">
        <f>B21</f>
        <v>0.61299999999999999</v>
      </c>
      <c r="D21" s="83">
        <f>C21</f>
        <v>0.61299999999999999</v>
      </c>
      <c r="E21" s="83">
        <f>D21</f>
        <v>0.61299999999999999</v>
      </c>
      <c r="F21" s="83">
        <f t="shared" ref="F21:M21" si="32">E21</f>
        <v>0.61299999999999999</v>
      </c>
      <c r="G21" s="83">
        <f t="shared" si="32"/>
        <v>0.61299999999999999</v>
      </c>
      <c r="H21" s="83">
        <f t="shared" si="32"/>
        <v>0.61299999999999999</v>
      </c>
      <c r="I21" s="83">
        <f t="shared" si="32"/>
        <v>0.61299999999999999</v>
      </c>
      <c r="J21" s="83">
        <f t="shared" si="32"/>
        <v>0.61299999999999999</v>
      </c>
      <c r="K21" s="83">
        <f t="shared" si="32"/>
        <v>0.61299999999999999</v>
      </c>
      <c r="L21" s="83">
        <f t="shared" si="32"/>
        <v>0.61299999999999999</v>
      </c>
      <c r="M21" s="83">
        <f t="shared" si="32"/>
        <v>0.61299999999999999</v>
      </c>
      <c r="R21" s="138"/>
      <c r="S21" s="138"/>
      <c r="AJ21" s="124"/>
      <c r="AN21" s="124"/>
      <c r="AP21" s="126"/>
    </row>
    <row r="22" spans="1:50" s="67" customFormat="1" thickBot="1" x14ac:dyDescent="0.4">
      <c r="A22" s="67" t="s">
        <v>105</v>
      </c>
      <c r="B22" s="89">
        <f>IFERROR(B19/B21-1,"")</f>
        <v>5.5580022024249942E-2</v>
      </c>
      <c r="C22" s="90">
        <f>IFERROR(C19/C21-1,"")</f>
        <v>3.8310181691993961E-2</v>
      </c>
      <c r="D22" s="90">
        <f t="shared" ref="D22:H22" si="33">IFERROR(D19/D21-1,"")</f>
        <v>1.0601149391235243E-2</v>
      </c>
      <c r="E22" s="90">
        <f t="shared" si="33"/>
        <v>-9.480284516518056E-3</v>
      </c>
      <c r="F22" s="90">
        <f t="shared" si="33"/>
        <v>3.6201502761775251E-2</v>
      </c>
      <c r="G22" s="90">
        <f t="shared" si="33"/>
        <v>-5.1474699625585374E-2</v>
      </c>
      <c r="H22" s="90">
        <f t="shared" si="33"/>
        <v>6.7267945112289951E-2</v>
      </c>
      <c r="I22" s="90">
        <f>IFERROR(I19/I21-1,"")</f>
        <v>6.8990053997178169E-2</v>
      </c>
      <c r="J22" s="90">
        <f t="shared" ref="J22:M22" si="34">IFERROR(J19/J21-1,"")</f>
        <v>0.19910950654937487</v>
      </c>
      <c r="K22" s="90" t="str">
        <f t="shared" si="34"/>
        <v/>
      </c>
      <c r="L22" s="90" t="str">
        <f t="shared" si="34"/>
        <v/>
      </c>
      <c r="M22" s="90" t="str">
        <f t="shared" si="34"/>
        <v/>
      </c>
    </row>
    <row r="23" spans="1:50" ht="14.45" x14ac:dyDescent="0.35">
      <c r="J23" s="3"/>
      <c r="K23" s="3"/>
      <c r="L23" s="3"/>
      <c r="M23" s="3"/>
      <c r="AQ23" s="125"/>
      <c r="AU23" s="125"/>
      <c r="AW23" s="126"/>
    </row>
    <row r="25" spans="1:50" ht="14.45" x14ac:dyDescent="0.35">
      <c r="C25" s="123"/>
      <c r="AQ25" s="123"/>
      <c r="AR25" s="123"/>
      <c r="AU25" s="123"/>
      <c r="AV25" s="123"/>
      <c r="AW25" s="126"/>
      <c r="AX25" s="126"/>
    </row>
    <row r="26" spans="1:50" ht="14.45" x14ac:dyDescent="0.35">
      <c r="A26" s="129"/>
      <c r="C26" s="123"/>
    </row>
  </sheetData>
  <mergeCells count="24">
    <mergeCell ref="AD11:AG11"/>
    <mergeCell ref="AH11:AK11"/>
    <mergeCell ref="AL11:AO11"/>
    <mergeCell ref="AP11:AS11"/>
    <mergeCell ref="AT11:AW11"/>
    <mergeCell ref="AD2:AG2"/>
    <mergeCell ref="AH2:AK2"/>
    <mergeCell ref="AL2:AO2"/>
    <mergeCell ref="AP2:AS2"/>
    <mergeCell ref="AT2:AW2"/>
    <mergeCell ref="B2:E2"/>
    <mergeCell ref="F2:I2"/>
    <mergeCell ref="B11:E11"/>
    <mergeCell ref="F11:I11"/>
    <mergeCell ref="J11:M11"/>
    <mergeCell ref="J2:M2"/>
    <mergeCell ref="N11:Q11"/>
    <mergeCell ref="R11:U11"/>
    <mergeCell ref="V2:Y2"/>
    <mergeCell ref="Z2:AC2"/>
    <mergeCell ref="V11:Y11"/>
    <mergeCell ref="Z11:AC11"/>
    <mergeCell ref="R2:U2"/>
    <mergeCell ref="N2:Q2"/>
  </mergeCells>
  <pageMargins left="0.25" right="0.25" top="0.5" bottom="0.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4187"/>
  <sheetViews>
    <sheetView tabSelected="1" workbookViewId="0">
      <selection activeCell="Q1" sqref="Q1:U1"/>
    </sheetView>
  </sheetViews>
  <sheetFormatPr defaultRowHeight="15" x14ac:dyDescent="0.25"/>
  <cols>
    <col min="12" max="12" width="27.28515625" bestFit="1" customWidth="1"/>
    <col min="15" max="15" width="10.5703125" bestFit="1" customWidth="1"/>
    <col min="17" max="17" width="22.85546875" bestFit="1" customWidth="1"/>
    <col min="19" max="19" width="18.42578125" bestFit="1" customWidth="1"/>
  </cols>
  <sheetData>
    <row r="1" spans="1:21" x14ac:dyDescent="0.25">
      <c r="A1">
        <v>5</v>
      </c>
      <c r="D1">
        <v>5</v>
      </c>
      <c r="O1" s="2">
        <v>19125.63</v>
      </c>
      <c r="Q1">
        <f>SUM(Q3:Q2986)</f>
        <v>14794.375</v>
      </c>
      <c r="S1">
        <f>SUM(S3:S774)</f>
        <v>3636.125</v>
      </c>
      <c r="U1">
        <f>SUM(U3:U127)</f>
        <v>773.5</v>
      </c>
    </row>
    <row r="2" spans="1:21" x14ac:dyDescent="0.25">
      <c r="A2">
        <v>3.25</v>
      </c>
      <c r="D2">
        <v>5</v>
      </c>
      <c r="Q2" s="64" t="s">
        <v>310</v>
      </c>
      <c r="S2" s="64" t="s">
        <v>314</v>
      </c>
      <c r="U2" s="64" t="s">
        <v>313</v>
      </c>
    </row>
    <row r="3" spans="1:21" x14ac:dyDescent="0.25">
      <c r="A3">
        <v>5.25</v>
      </c>
      <c r="D3">
        <v>1</v>
      </c>
      <c r="Q3">
        <v>3.25</v>
      </c>
      <c r="S3">
        <v>16.5</v>
      </c>
      <c r="U3">
        <v>8</v>
      </c>
    </row>
    <row r="4" spans="1:21" x14ac:dyDescent="0.25">
      <c r="A4">
        <v>6</v>
      </c>
      <c r="D4">
        <v>6.75</v>
      </c>
      <c r="Q4">
        <v>5</v>
      </c>
      <c r="S4">
        <v>5</v>
      </c>
      <c r="U4">
        <v>4.25</v>
      </c>
    </row>
    <row r="5" spans="1:21" x14ac:dyDescent="0.25">
      <c r="A5">
        <v>2.5</v>
      </c>
      <c r="D5">
        <v>5</v>
      </c>
      <c r="Q5">
        <v>1</v>
      </c>
      <c r="S5">
        <v>5</v>
      </c>
      <c r="U5">
        <v>8.75</v>
      </c>
    </row>
    <row r="6" spans="1:21" x14ac:dyDescent="0.25">
      <c r="A6">
        <v>4</v>
      </c>
      <c r="D6">
        <v>5</v>
      </c>
      <c r="Q6">
        <v>4</v>
      </c>
      <c r="S6">
        <v>7</v>
      </c>
      <c r="U6">
        <v>8</v>
      </c>
    </row>
    <row r="7" spans="1:21" x14ac:dyDescent="0.25">
      <c r="A7">
        <v>2.5</v>
      </c>
      <c r="D7">
        <v>2.5</v>
      </c>
      <c r="Q7">
        <v>1.25</v>
      </c>
      <c r="S7">
        <v>3.5</v>
      </c>
      <c r="U7">
        <v>8</v>
      </c>
    </row>
    <row r="8" spans="1:21" x14ac:dyDescent="0.25">
      <c r="A8">
        <v>5.5</v>
      </c>
      <c r="D8">
        <v>10.5</v>
      </c>
      <c r="Q8">
        <v>4</v>
      </c>
      <c r="S8">
        <v>5.5</v>
      </c>
      <c r="U8">
        <v>1.75</v>
      </c>
    </row>
    <row r="9" spans="1:21" x14ac:dyDescent="0.25">
      <c r="A9">
        <v>5</v>
      </c>
      <c r="D9">
        <v>0.5</v>
      </c>
      <c r="Q9">
        <v>1</v>
      </c>
      <c r="S9">
        <v>5</v>
      </c>
      <c r="U9">
        <v>8</v>
      </c>
    </row>
    <row r="10" spans="1:21" x14ac:dyDescent="0.25">
      <c r="A10">
        <v>5.25</v>
      </c>
      <c r="D10">
        <v>5</v>
      </c>
      <c r="Q10">
        <v>2</v>
      </c>
      <c r="S10">
        <v>5.25</v>
      </c>
      <c r="U10">
        <v>8.5</v>
      </c>
    </row>
    <row r="11" spans="1:21" x14ac:dyDescent="0.25">
      <c r="A11">
        <v>5</v>
      </c>
      <c r="D11">
        <v>10</v>
      </c>
      <c r="Q11">
        <v>5</v>
      </c>
      <c r="S11">
        <v>5</v>
      </c>
      <c r="U11">
        <v>1.75</v>
      </c>
    </row>
    <row r="12" spans="1:21" x14ac:dyDescent="0.25">
      <c r="A12">
        <v>5</v>
      </c>
      <c r="D12">
        <v>5.25</v>
      </c>
      <c r="L12" t="s">
        <v>308</v>
      </c>
      <c r="Q12">
        <v>5</v>
      </c>
      <c r="S12">
        <v>5</v>
      </c>
      <c r="U12">
        <v>13.5</v>
      </c>
    </row>
    <row r="13" spans="1:21" x14ac:dyDescent="0.25">
      <c r="A13">
        <v>7.5</v>
      </c>
      <c r="D13">
        <v>3.75</v>
      </c>
      <c r="L13" t="s">
        <v>309</v>
      </c>
      <c r="Q13">
        <v>2.5</v>
      </c>
      <c r="S13">
        <v>5</v>
      </c>
      <c r="U13">
        <v>8.25</v>
      </c>
    </row>
    <row r="14" spans="1:21" x14ac:dyDescent="0.25">
      <c r="A14">
        <v>5</v>
      </c>
      <c r="D14">
        <v>7</v>
      </c>
      <c r="L14" t="s">
        <v>310</v>
      </c>
      <c r="Q14">
        <v>5</v>
      </c>
      <c r="S14">
        <v>5</v>
      </c>
      <c r="U14">
        <v>3.25</v>
      </c>
    </row>
    <row r="15" spans="1:21" x14ac:dyDescent="0.25">
      <c r="A15">
        <v>16.5</v>
      </c>
      <c r="D15">
        <v>5</v>
      </c>
      <c r="L15" t="s">
        <v>311</v>
      </c>
      <c r="Q15">
        <v>3</v>
      </c>
      <c r="S15">
        <v>0.25</v>
      </c>
      <c r="U15">
        <v>7.5</v>
      </c>
    </row>
    <row r="16" spans="1:21" x14ac:dyDescent="0.25">
      <c r="A16">
        <v>5.25</v>
      </c>
      <c r="D16">
        <v>6.5</v>
      </c>
      <c r="L16" t="s">
        <v>312</v>
      </c>
      <c r="Q16">
        <v>5.625</v>
      </c>
      <c r="S16">
        <v>6.75</v>
      </c>
      <c r="U16">
        <v>3.75</v>
      </c>
    </row>
    <row r="17" spans="1:21" x14ac:dyDescent="0.25">
      <c r="A17">
        <v>5</v>
      </c>
      <c r="D17">
        <v>5</v>
      </c>
      <c r="L17" t="s">
        <v>313</v>
      </c>
      <c r="Q17">
        <v>3.375</v>
      </c>
      <c r="S17">
        <v>5</v>
      </c>
      <c r="U17">
        <v>8.5</v>
      </c>
    </row>
    <row r="18" spans="1:21" x14ac:dyDescent="0.25">
      <c r="A18">
        <v>7.5</v>
      </c>
      <c r="D18">
        <v>5</v>
      </c>
      <c r="L18" t="s">
        <v>314</v>
      </c>
      <c r="Q18">
        <v>0.5</v>
      </c>
      <c r="S18">
        <v>5</v>
      </c>
      <c r="U18">
        <v>4</v>
      </c>
    </row>
    <row r="19" spans="1:21" x14ac:dyDescent="0.25">
      <c r="A19">
        <v>5</v>
      </c>
      <c r="D19">
        <v>6.5</v>
      </c>
      <c r="L19" t="s">
        <v>315</v>
      </c>
      <c r="Q19">
        <v>5</v>
      </c>
      <c r="S19">
        <v>2</v>
      </c>
      <c r="U19">
        <v>4</v>
      </c>
    </row>
    <row r="20" spans="1:21" x14ac:dyDescent="0.25">
      <c r="A20">
        <v>3.75</v>
      </c>
      <c r="D20">
        <v>2.25</v>
      </c>
      <c r="Q20">
        <v>5</v>
      </c>
      <c r="S20">
        <v>5</v>
      </c>
      <c r="U20">
        <v>8</v>
      </c>
    </row>
    <row r="21" spans="1:21" x14ac:dyDescent="0.25">
      <c r="A21">
        <v>1.75</v>
      </c>
      <c r="D21">
        <v>6.5</v>
      </c>
      <c r="Q21">
        <v>3</v>
      </c>
      <c r="S21">
        <v>1.5</v>
      </c>
      <c r="U21">
        <v>8</v>
      </c>
    </row>
    <row r="22" spans="1:21" x14ac:dyDescent="0.25">
      <c r="A22">
        <v>4</v>
      </c>
      <c r="D22">
        <v>3.5</v>
      </c>
      <c r="Q22">
        <v>5.25</v>
      </c>
      <c r="S22">
        <v>5</v>
      </c>
      <c r="U22">
        <v>3.5</v>
      </c>
    </row>
    <row r="23" spans="1:21" x14ac:dyDescent="0.25">
      <c r="A23">
        <v>5</v>
      </c>
      <c r="D23">
        <v>5</v>
      </c>
      <c r="Q23">
        <v>3.75</v>
      </c>
      <c r="S23">
        <v>1</v>
      </c>
      <c r="U23">
        <v>8</v>
      </c>
    </row>
    <row r="24" spans="1:21" x14ac:dyDescent="0.25">
      <c r="A24">
        <v>5</v>
      </c>
      <c r="D24">
        <v>2.25</v>
      </c>
      <c r="Q24">
        <v>5</v>
      </c>
      <c r="S24">
        <v>4</v>
      </c>
      <c r="U24">
        <v>6.25</v>
      </c>
    </row>
    <row r="25" spans="1:21" x14ac:dyDescent="0.25">
      <c r="A25">
        <v>5</v>
      </c>
      <c r="D25">
        <v>6.5</v>
      </c>
      <c r="Q25">
        <v>7</v>
      </c>
      <c r="S25">
        <v>1</v>
      </c>
      <c r="U25">
        <v>8</v>
      </c>
    </row>
    <row r="26" spans="1:21" x14ac:dyDescent="0.25">
      <c r="A26">
        <v>8.25</v>
      </c>
      <c r="D26">
        <v>5</v>
      </c>
      <c r="Q26">
        <v>5</v>
      </c>
      <c r="S26">
        <v>3.5</v>
      </c>
      <c r="U26">
        <v>9</v>
      </c>
    </row>
    <row r="27" spans="1:21" x14ac:dyDescent="0.25">
      <c r="A27">
        <v>3</v>
      </c>
      <c r="D27">
        <v>7</v>
      </c>
      <c r="Q27">
        <v>6.5</v>
      </c>
      <c r="S27">
        <v>5</v>
      </c>
      <c r="U27">
        <v>8</v>
      </c>
    </row>
    <row r="28" spans="1:21" x14ac:dyDescent="0.25">
      <c r="A28">
        <v>3.5</v>
      </c>
      <c r="D28">
        <v>5</v>
      </c>
      <c r="Q28">
        <v>5</v>
      </c>
      <c r="S28">
        <v>5</v>
      </c>
      <c r="U28">
        <v>8.25</v>
      </c>
    </row>
    <row r="29" spans="1:21" x14ac:dyDescent="0.25">
      <c r="A29">
        <v>6.25</v>
      </c>
      <c r="D29">
        <v>5</v>
      </c>
      <c r="Q29">
        <v>5</v>
      </c>
      <c r="S29">
        <v>7</v>
      </c>
      <c r="U29">
        <v>4.5</v>
      </c>
    </row>
    <row r="30" spans="1:21" x14ac:dyDescent="0.25">
      <c r="A30">
        <v>5</v>
      </c>
      <c r="D30">
        <v>5</v>
      </c>
      <c r="Q30">
        <v>5</v>
      </c>
      <c r="S30">
        <v>7.5</v>
      </c>
      <c r="U30">
        <v>10.25</v>
      </c>
    </row>
    <row r="31" spans="1:21" x14ac:dyDescent="0.25">
      <c r="A31">
        <v>4</v>
      </c>
      <c r="D31">
        <v>10</v>
      </c>
      <c r="Q31">
        <v>3</v>
      </c>
      <c r="S31">
        <v>4.5</v>
      </c>
      <c r="U31">
        <v>4</v>
      </c>
    </row>
    <row r="32" spans="1:21" x14ac:dyDescent="0.25">
      <c r="A32">
        <v>5</v>
      </c>
      <c r="D32">
        <v>3.75</v>
      </c>
      <c r="Q32">
        <v>5.25</v>
      </c>
      <c r="S32">
        <v>2</v>
      </c>
      <c r="U32">
        <v>9.25</v>
      </c>
    </row>
    <row r="33" spans="1:21" x14ac:dyDescent="0.25">
      <c r="A33">
        <v>5</v>
      </c>
      <c r="D33">
        <v>20.25</v>
      </c>
      <c r="Q33">
        <v>6.5</v>
      </c>
      <c r="S33">
        <v>5</v>
      </c>
      <c r="U33">
        <v>9</v>
      </c>
    </row>
    <row r="34" spans="1:21" x14ac:dyDescent="0.25">
      <c r="A34">
        <v>5</v>
      </c>
      <c r="D34">
        <v>5.25</v>
      </c>
      <c r="Q34">
        <v>2.25</v>
      </c>
      <c r="S34">
        <v>5</v>
      </c>
      <c r="U34">
        <v>8</v>
      </c>
    </row>
    <row r="35" spans="1:21" x14ac:dyDescent="0.25">
      <c r="A35">
        <v>7</v>
      </c>
      <c r="D35">
        <v>1</v>
      </c>
      <c r="Q35">
        <v>5</v>
      </c>
      <c r="S35">
        <v>5</v>
      </c>
      <c r="U35">
        <v>8</v>
      </c>
    </row>
    <row r="36" spans="1:21" x14ac:dyDescent="0.25">
      <c r="A36">
        <v>2.25</v>
      </c>
      <c r="D36">
        <v>5</v>
      </c>
      <c r="Q36">
        <v>6.75</v>
      </c>
      <c r="S36">
        <v>3.5</v>
      </c>
      <c r="U36">
        <v>4.75</v>
      </c>
    </row>
    <row r="37" spans="1:21" x14ac:dyDescent="0.25">
      <c r="A37">
        <v>5</v>
      </c>
      <c r="D37">
        <v>10.5</v>
      </c>
      <c r="Q37">
        <v>6.5</v>
      </c>
      <c r="S37">
        <v>5</v>
      </c>
      <c r="U37">
        <v>8.75</v>
      </c>
    </row>
    <row r="38" spans="1:21" x14ac:dyDescent="0.25">
      <c r="A38">
        <v>1</v>
      </c>
      <c r="D38">
        <v>4.5</v>
      </c>
      <c r="Q38">
        <v>3</v>
      </c>
      <c r="S38">
        <v>1</v>
      </c>
      <c r="U38">
        <v>6.25</v>
      </c>
    </row>
    <row r="39" spans="1:21" x14ac:dyDescent="0.25">
      <c r="A39">
        <v>10</v>
      </c>
      <c r="D39">
        <v>4</v>
      </c>
      <c r="Q39">
        <v>5</v>
      </c>
      <c r="S39">
        <v>4</v>
      </c>
      <c r="U39">
        <v>1.75</v>
      </c>
    </row>
    <row r="40" spans="1:21" x14ac:dyDescent="0.25">
      <c r="A40">
        <v>5</v>
      </c>
      <c r="D40">
        <v>0.75</v>
      </c>
      <c r="Q40">
        <v>5</v>
      </c>
      <c r="S40">
        <v>1</v>
      </c>
      <c r="U40">
        <v>8</v>
      </c>
    </row>
    <row r="41" spans="1:21" x14ac:dyDescent="0.25">
      <c r="A41">
        <v>5</v>
      </c>
      <c r="D41">
        <v>1.125</v>
      </c>
      <c r="Q41">
        <v>0.5</v>
      </c>
      <c r="S41">
        <v>5</v>
      </c>
      <c r="U41">
        <v>1.25</v>
      </c>
    </row>
    <row r="42" spans="1:21" x14ac:dyDescent="0.25">
      <c r="A42">
        <v>5</v>
      </c>
      <c r="D42">
        <v>1</v>
      </c>
      <c r="Q42">
        <v>6.5</v>
      </c>
      <c r="S42">
        <v>5</v>
      </c>
      <c r="U42">
        <v>8</v>
      </c>
    </row>
    <row r="43" spans="1:21" x14ac:dyDescent="0.25">
      <c r="A43">
        <v>5</v>
      </c>
      <c r="D43">
        <v>5</v>
      </c>
      <c r="Q43">
        <v>5</v>
      </c>
      <c r="S43">
        <v>6.5</v>
      </c>
      <c r="U43">
        <v>5.5</v>
      </c>
    </row>
    <row r="44" spans="1:21" x14ac:dyDescent="0.25">
      <c r="A44">
        <v>5</v>
      </c>
      <c r="D44">
        <v>5</v>
      </c>
      <c r="Q44">
        <v>5</v>
      </c>
      <c r="S44">
        <v>5</v>
      </c>
      <c r="U44">
        <v>4</v>
      </c>
    </row>
    <row r="45" spans="1:21" x14ac:dyDescent="0.25">
      <c r="A45">
        <v>5</v>
      </c>
      <c r="D45">
        <v>5</v>
      </c>
      <c r="Q45">
        <v>5</v>
      </c>
      <c r="S45">
        <v>5</v>
      </c>
      <c r="U45">
        <v>9.5</v>
      </c>
    </row>
    <row r="46" spans="1:21" x14ac:dyDescent="0.25">
      <c r="A46">
        <v>3.5</v>
      </c>
      <c r="D46">
        <v>3.25</v>
      </c>
      <c r="Q46">
        <v>3</v>
      </c>
      <c r="S46">
        <v>2.5</v>
      </c>
      <c r="U46">
        <v>3.75</v>
      </c>
    </row>
    <row r="47" spans="1:21" x14ac:dyDescent="0.25">
      <c r="A47">
        <v>5.5</v>
      </c>
      <c r="D47">
        <v>4.5</v>
      </c>
      <c r="Q47">
        <v>3.5</v>
      </c>
      <c r="S47">
        <v>2</v>
      </c>
      <c r="U47">
        <v>6.25</v>
      </c>
    </row>
    <row r="48" spans="1:21" x14ac:dyDescent="0.25">
      <c r="A48">
        <v>5</v>
      </c>
      <c r="D48">
        <v>2</v>
      </c>
      <c r="Q48">
        <v>5</v>
      </c>
      <c r="S48">
        <v>5</v>
      </c>
      <c r="U48">
        <v>20.25</v>
      </c>
    </row>
    <row r="49" spans="1:21" x14ac:dyDescent="0.25">
      <c r="A49">
        <v>10</v>
      </c>
      <c r="D49">
        <v>10.5</v>
      </c>
      <c r="Q49">
        <v>5</v>
      </c>
      <c r="S49">
        <v>5</v>
      </c>
      <c r="U49">
        <v>1.5</v>
      </c>
    </row>
    <row r="50" spans="1:21" x14ac:dyDescent="0.25">
      <c r="A50">
        <v>10</v>
      </c>
      <c r="D50">
        <v>0.375</v>
      </c>
      <c r="Q50">
        <v>5</v>
      </c>
      <c r="S50">
        <v>4</v>
      </c>
      <c r="U50">
        <v>7</v>
      </c>
    </row>
    <row r="51" spans="1:21" x14ac:dyDescent="0.25">
      <c r="A51">
        <v>5</v>
      </c>
      <c r="D51">
        <v>4.75</v>
      </c>
      <c r="Q51">
        <v>5</v>
      </c>
      <c r="S51">
        <v>5</v>
      </c>
      <c r="U51">
        <v>5</v>
      </c>
    </row>
    <row r="52" spans="1:21" x14ac:dyDescent="0.25">
      <c r="A52">
        <v>5</v>
      </c>
      <c r="D52">
        <v>3.375</v>
      </c>
      <c r="Q52">
        <v>5</v>
      </c>
      <c r="S52">
        <v>2.5</v>
      </c>
      <c r="U52">
        <v>6</v>
      </c>
    </row>
    <row r="53" spans="1:21" x14ac:dyDescent="0.25">
      <c r="A53">
        <v>5.25</v>
      </c>
      <c r="D53">
        <v>4</v>
      </c>
      <c r="Q53">
        <v>3.75</v>
      </c>
      <c r="S53">
        <v>5</v>
      </c>
      <c r="U53">
        <v>1.125</v>
      </c>
    </row>
    <row r="54" spans="1:21" x14ac:dyDescent="0.25">
      <c r="A54">
        <v>5</v>
      </c>
      <c r="D54">
        <v>4.5</v>
      </c>
      <c r="Q54">
        <v>5</v>
      </c>
      <c r="S54">
        <v>5</v>
      </c>
      <c r="U54">
        <v>4</v>
      </c>
    </row>
    <row r="55" spans="1:21" x14ac:dyDescent="0.25">
      <c r="A55">
        <v>5</v>
      </c>
      <c r="D55">
        <v>4.75</v>
      </c>
      <c r="Q55">
        <v>5.25</v>
      </c>
      <c r="S55">
        <v>5</v>
      </c>
      <c r="U55">
        <v>8</v>
      </c>
    </row>
    <row r="56" spans="1:21" x14ac:dyDescent="0.25">
      <c r="A56">
        <v>5</v>
      </c>
      <c r="D56">
        <v>5</v>
      </c>
      <c r="Q56">
        <v>1</v>
      </c>
      <c r="S56">
        <v>7</v>
      </c>
      <c r="U56">
        <v>8</v>
      </c>
    </row>
    <row r="57" spans="1:21" x14ac:dyDescent="0.25">
      <c r="A57">
        <v>3.25</v>
      </c>
      <c r="D57">
        <v>2.625</v>
      </c>
      <c r="Q57">
        <v>5</v>
      </c>
      <c r="S57">
        <v>5</v>
      </c>
      <c r="U57">
        <v>8</v>
      </c>
    </row>
    <row r="58" spans="1:21" x14ac:dyDescent="0.25">
      <c r="A58">
        <v>4.25</v>
      </c>
      <c r="D58">
        <v>11.25</v>
      </c>
      <c r="Q58">
        <v>10.5</v>
      </c>
      <c r="S58">
        <v>5</v>
      </c>
      <c r="U58">
        <v>6.25</v>
      </c>
    </row>
    <row r="59" spans="1:21" x14ac:dyDescent="0.25">
      <c r="A59">
        <v>5</v>
      </c>
      <c r="D59">
        <v>5</v>
      </c>
      <c r="Q59">
        <v>5</v>
      </c>
      <c r="S59">
        <v>5</v>
      </c>
      <c r="U59">
        <v>5.75</v>
      </c>
    </row>
    <row r="60" spans="1:21" x14ac:dyDescent="0.25">
      <c r="A60">
        <v>5</v>
      </c>
      <c r="D60">
        <v>10</v>
      </c>
      <c r="Q60">
        <v>3</v>
      </c>
      <c r="S60">
        <v>5</v>
      </c>
      <c r="U60">
        <v>0.75</v>
      </c>
    </row>
    <row r="61" spans="1:21" x14ac:dyDescent="0.25">
      <c r="A61">
        <v>5</v>
      </c>
      <c r="D61">
        <v>5</v>
      </c>
      <c r="Q61">
        <v>4.5</v>
      </c>
      <c r="S61">
        <v>5</v>
      </c>
      <c r="U61">
        <v>4</v>
      </c>
    </row>
    <row r="62" spans="1:21" x14ac:dyDescent="0.25">
      <c r="A62">
        <v>5</v>
      </c>
      <c r="D62">
        <v>1.75</v>
      </c>
      <c r="Q62">
        <v>1</v>
      </c>
      <c r="S62">
        <v>5</v>
      </c>
      <c r="U62">
        <v>5.75</v>
      </c>
    </row>
    <row r="63" spans="1:21" x14ac:dyDescent="0.25">
      <c r="A63">
        <v>5</v>
      </c>
      <c r="D63">
        <v>2.25</v>
      </c>
      <c r="Q63">
        <v>5</v>
      </c>
      <c r="S63">
        <v>5</v>
      </c>
      <c r="U63">
        <v>1.75</v>
      </c>
    </row>
    <row r="64" spans="1:21" x14ac:dyDescent="0.25">
      <c r="A64">
        <v>5</v>
      </c>
      <c r="D64">
        <v>4</v>
      </c>
      <c r="Q64">
        <v>5</v>
      </c>
      <c r="S64">
        <v>5</v>
      </c>
      <c r="U64">
        <v>8.25</v>
      </c>
    </row>
    <row r="65" spans="1:21" x14ac:dyDescent="0.25">
      <c r="A65">
        <v>5</v>
      </c>
      <c r="D65">
        <v>3</v>
      </c>
      <c r="Q65">
        <v>5</v>
      </c>
      <c r="S65">
        <v>5</v>
      </c>
      <c r="U65">
        <v>4</v>
      </c>
    </row>
    <row r="66" spans="1:21" x14ac:dyDescent="0.25">
      <c r="A66">
        <v>5</v>
      </c>
      <c r="D66">
        <v>5</v>
      </c>
      <c r="Q66">
        <v>5</v>
      </c>
      <c r="S66">
        <v>7</v>
      </c>
      <c r="U66">
        <v>4.25</v>
      </c>
    </row>
    <row r="67" spans="1:21" x14ac:dyDescent="0.25">
      <c r="A67">
        <v>5.25</v>
      </c>
      <c r="D67">
        <v>5</v>
      </c>
      <c r="Q67">
        <v>3.25</v>
      </c>
      <c r="S67">
        <v>0.5</v>
      </c>
      <c r="U67">
        <v>10</v>
      </c>
    </row>
    <row r="68" spans="1:21" x14ac:dyDescent="0.25">
      <c r="A68">
        <v>5</v>
      </c>
      <c r="D68">
        <v>5</v>
      </c>
      <c r="Q68">
        <v>0.25</v>
      </c>
      <c r="S68">
        <v>1</v>
      </c>
      <c r="U68">
        <v>13</v>
      </c>
    </row>
    <row r="69" spans="1:21" x14ac:dyDescent="0.25">
      <c r="A69">
        <v>0.25</v>
      </c>
      <c r="D69">
        <v>5</v>
      </c>
      <c r="Q69">
        <v>3.375</v>
      </c>
      <c r="S69">
        <v>4.5</v>
      </c>
      <c r="U69">
        <v>3.25</v>
      </c>
    </row>
    <row r="70" spans="1:21" x14ac:dyDescent="0.25">
      <c r="A70">
        <v>6.75</v>
      </c>
      <c r="D70">
        <v>2.625</v>
      </c>
      <c r="Q70">
        <v>4</v>
      </c>
      <c r="S70">
        <v>2</v>
      </c>
      <c r="U70">
        <v>4</v>
      </c>
    </row>
    <row r="71" spans="1:21" x14ac:dyDescent="0.25">
      <c r="A71">
        <v>5</v>
      </c>
      <c r="D71">
        <v>11.25</v>
      </c>
      <c r="Q71">
        <v>4.5</v>
      </c>
      <c r="S71">
        <v>3.5</v>
      </c>
      <c r="U71">
        <v>8</v>
      </c>
    </row>
    <row r="72" spans="1:21" x14ac:dyDescent="0.25">
      <c r="A72">
        <v>3</v>
      </c>
      <c r="D72">
        <v>3.25</v>
      </c>
      <c r="Q72">
        <v>5</v>
      </c>
      <c r="S72">
        <v>1.25</v>
      </c>
      <c r="U72">
        <v>5.5</v>
      </c>
    </row>
    <row r="73" spans="1:21" x14ac:dyDescent="0.25">
      <c r="A73">
        <v>3.5</v>
      </c>
      <c r="D73">
        <v>5</v>
      </c>
      <c r="Q73">
        <v>4.75</v>
      </c>
      <c r="S73">
        <v>5</v>
      </c>
      <c r="U73">
        <v>2.75</v>
      </c>
    </row>
    <row r="74" spans="1:21" x14ac:dyDescent="0.25">
      <c r="A74">
        <v>5</v>
      </c>
      <c r="D74">
        <v>5</v>
      </c>
      <c r="Q74">
        <v>5</v>
      </c>
      <c r="S74">
        <v>5</v>
      </c>
      <c r="U74">
        <v>13.5</v>
      </c>
    </row>
    <row r="75" spans="1:21" x14ac:dyDescent="0.25">
      <c r="A75">
        <v>4.75</v>
      </c>
      <c r="D75">
        <v>5</v>
      </c>
      <c r="Q75">
        <v>4.75</v>
      </c>
      <c r="S75">
        <v>5</v>
      </c>
      <c r="U75">
        <v>8.75</v>
      </c>
    </row>
    <row r="76" spans="1:21" x14ac:dyDescent="0.25">
      <c r="A76">
        <v>5</v>
      </c>
      <c r="D76">
        <v>5</v>
      </c>
      <c r="Q76">
        <v>5</v>
      </c>
      <c r="S76">
        <v>5</v>
      </c>
      <c r="U76">
        <v>5.5</v>
      </c>
    </row>
    <row r="77" spans="1:21" x14ac:dyDescent="0.25">
      <c r="A77">
        <v>2</v>
      </c>
      <c r="D77">
        <v>0.75</v>
      </c>
      <c r="Q77">
        <v>0.375</v>
      </c>
      <c r="S77">
        <v>5</v>
      </c>
      <c r="U77">
        <v>4.25</v>
      </c>
    </row>
    <row r="78" spans="1:21" x14ac:dyDescent="0.25">
      <c r="A78">
        <v>5</v>
      </c>
      <c r="D78">
        <v>7.25</v>
      </c>
      <c r="Q78">
        <v>0.375</v>
      </c>
      <c r="S78">
        <v>5</v>
      </c>
      <c r="U78">
        <v>3.75</v>
      </c>
    </row>
    <row r="79" spans="1:21" x14ac:dyDescent="0.25">
      <c r="A79">
        <v>5</v>
      </c>
      <c r="D79">
        <v>5</v>
      </c>
      <c r="Q79">
        <v>5</v>
      </c>
      <c r="S79">
        <v>5</v>
      </c>
      <c r="U79">
        <v>8</v>
      </c>
    </row>
    <row r="80" spans="1:21" x14ac:dyDescent="0.25">
      <c r="A80">
        <v>5</v>
      </c>
      <c r="D80">
        <v>2.5</v>
      </c>
      <c r="Q80">
        <v>1.75</v>
      </c>
      <c r="S80">
        <v>2</v>
      </c>
      <c r="U80">
        <v>6.75</v>
      </c>
    </row>
    <row r="81" spans="1:21" x14ac:dyDescent="0.25">
      <c r="A81">
        <v>5.25</v>
      </c>
      <c r="D81">
        <v>4</v>
      </c>
      <c r="Q81">
        <v>11.25</v>
      </c>
      <c r="S81">
        <v>5</v>
      </c>
      <c r="U81">
        <v>8.75</v>
      </c>
    </row>
    <row r="82" spans="1:21" x14ac:dyDescent="0.25">
      <c r="A82">
        <v>13.5</v>
      </c>
      <c r="D82">
        <v>5</v>
      </c>
      <c r="Q82">
        <v>5</v>
      </c>
      <c r="S82">
        <v>2</v>
      </c>
      <c r="U82">
        <v>1</v>
      </c>
    </row>
    <row r="83" spans="1:21" x14ac:dyDescent="0.25">
      <c r="A83">
        <v>5</v>
      </c>
      <c r="D83">
        <v>7</v>
      </c>
      <c r="Q83">
        <v>2.25</v>
      </c>
      <c r="S83">
        <v>5</v>
      </c>
      <c r="U83">
        <v>4.5</v>
      </c>
    </row>
    <row r="84" spans="1:21" x14ac:dyDescent="0.25">
      <c r="A84">
        <v>7</v>
      </c>
      <c r="D84">
        <v>1</v>
      </c>
      <c r="Q84">
        <v>4</v>
      </c>
      <c r="S84">
        <v>5</v>
      </c>
      <c r="U84">
        <v>3.5</v>
      </c>
    </row>
    <row r="85" spans="1:21" x14ac:dyDescent="0.25">
      <c r="A85">
        <v>5</v>
      </c>
      <c r="D85">
        <v>5</v>
      </c>
      <c r="Q85">
        <v>0.75</v>
      </c>
      <c r="S85">
        <v>5</v>
      </c>
      <c r="U85">
        <v>9.5</v>
      </c>
    </row>
    <row r="86" spans="1:21" x14ac:dyDescent="0.25">
      <c r="A86">
        <v>2</v>
      </c>
      <c r="D86">
        <v>5</v>
      </c>
      <c r="Q86">
        <v>5</v>
      </c>
      <c r="S86">
        <v>8.25</v>
      </c>
      <c r="U86">
        <v>8.25</v>
      </c>
    </row>
    <row r="87" spans="1:21" x14ac:dyDescent="0.25">
      <c r="A87">
        <v>8.25</v>
      </c>
      <c r="D87">
        <v>4</v>
      </c>
      <c r="Q87">
        <v>5</v>
      </c>
      <c r="S87">
        <v>3.25</v>
      </c>
      <c r="U87">
        <v>1.25</v>
      </c>
    </row>
    <row r="88" spans="1:21" x14ac:dyDescent="0.25">
      <c r="A88">
        <v>5</v>
      </c>
      <c r="D88">
        <v>4</v>
      </c>
      <c r="Q88">
        <v>5</v>
      </c>
      <c r="S88">
        <v>5</v>
      </c>
      <c r="U88">
        <v>4.875</v>
      </c>
    </row>
    <row r="89" spans="1:21" x14ac:dyDescent="0.25">
      <c r="A89">
        <v>5</v>
      </c>
      <c r="D89">
        <v>0.75</v>
      </c>
      <c r="Q89">
        <v>5</v>
      </c>
      <c r="S89">
        <v>3.5</v>
      </c>
      <c r="U89">
        <v>0.5</v>
      </c>
    </row>
    <row r="90" spans="1:21" x14ac:dyDescent="0.25">
      <c r="A90">
        <v>2.5</v>
      </c>
      <c r="D90">
        <v>5</v>
      </c>
      <c r="Q90">
        <v>7.25</v>
      </c>
      <c r="S90">
        <v>5</v>
      </c>
      <c r="U90">
        <v>6.375</v>
      </c>
    </row>
    <row r="91" spans="1:21" x14ac:dyDescent="0.25">
      <c r="A91">
        <v>5</v>
      </c>
      <c r="D91">
        <v>5</v>
      </c>
      <c r="Q91">
        <v>12</v>
      </c>
      <c r="S91">
        <v>8.25</v>
      </c>
      <c r="U91">
        <v>3.25</v>
      </c>
    </row>
    <row r="92" spans="1:21" x14ac:dyDescent="0.25">
      <c r="A92">
        <v>5.5</v>
      </c>
      <c r="D92">
        <v>0.375</v>
      </c>
      <c r="Q92">
        <v>5</v>
      </c>
      <c r="S92">
        <v>5</v>
      </c>
      <c r="U92">
        <v>7.875</v>
      </c>
    </row>
    <row r="93" spans="1:21" x14ac:dyDescent="0.25">
      <c r="A93">
        <v>5</v>
      </c>
      <c r="D93">
        <v>5</v>
      </c>
      <c r="Q93">
        <v>5</v>
      </c>
      <c r="S93">
        <v>5</v>
      </c>
      <c r="U93">
        <v>8</v>
      </c>
    </row>
    <row r="94" spans="1:21" x14ac:dyDescent="0.25">
      <c r="A94">
        <v>2</v>
      </c>
      <c r="D94">
        <v>4.5</v>
      </c>
      <c r="Q94">
        <v>5</v>
      </c>
      <c r="S94">
        <v>4</v>
      </c>
      <c r="U94">
        <v>8</v>
      </c>
    </row>
    <row r="95" spans="1:21" x14ac:dyDescent="0.25">
      <c r="A95">
        <v>5</v>
      </c>
      <c r="D95">
        <v>1</v>
      </c>
      <c r="Q95">
        <v>3.25</v>
      </c>
      <c r="S95">
        <v>5</v>
      </c>
      <c r="U95">
        <v>8.75</v>
      </c>
    </row>
    <row r="96" spans="1:21" x14ac:dyDescent="0.25">
      <c r="A96">
        <v>10</v>
      </c>
      <c r="D96">
        <v>7.5</v>
      </c>
      <c r="Q96">
        <v>5.25</v>
      </c>
      <c r="S96">
        <v>5.5</v>
      </c>
      <c r="U96">
        <v>9.25</v>
      </c>
    </row>
    <row r="97" spans="1:21" x14ac:dyDescent="0.25">
      <c r="A97">
        <v>7.25</v>
      </c>
      <c r="D97">
        <v>5</v>
      </c>
      <c r="Q97">
        <v>6</v>
      </c>
      <c r="S97">
        <v>1.25</v>
      </c>
      <c r="U97">
        <v>4.25</v>
      </c>
    </row>
    <row r="98" spans="1:21" x14ac:dyDescent="0.25">
      <c r="A98">
        <v>9</v>
      </c>
      <c r="D98">
        <v>3.25</v>
      </c>
      <c r="Q98">
        <v>2.5</v>
      </c>
      <c r="S98">
        <v>5</v>
      </c>
      <c r="U98">
        <v>6.25</v>
      </c>
    </row>
    <row r="99" spans="1:21" x14ac:dyDescent="0.25">
      <c r="A99">
        <v>1</v>
      </c>
      <c r="D99">
        <v>0.75</v>
      </c>
      <c r="Q99">
        <v>4</v>
      </c>
      <c r="S99">
        <v>4</v>
      </c>
      <c r="U99">
        <v>3.75</v>
      </c>
    </row>
    <row r="100" spans="1:21" x14ac:dyDescent="0.25">
      <c r="A100">
        <v>5</v>
      </c>
      <c r="D100">
        <v>5</v>
      </c>
      <c r="Q100">
        <v>2.5</v>
      </c>
      <c r="S100">
        <v>1.25</v>
      </c>
      <c r="U100">
        <v>4.5</v>
      </c>
    </row>
    <row r="101" spans="1:21" x14ac:dyDescent="0.25">
      <c r="A101">
        <v>2.5</v>
      </c>
      <c r="D101">
        <v>2</v>
      </c>
      <c r="Q101">
        <v>5.5</v>
      </c>
      <c r="S101">
        <v>8</v>
      </c>
      <c r="U101">
        <v>8</v>
      </c>
    </row>
    <row r="102" spans="1:21" x14ac:dyDescent="0.25">
      <c r="A102">
        <v>4.25</v>
      </c>
      <c r="D102">
        <v>5</v>
      </c>
      <c r="Q102">
        <v>5</v>
      </c>
      <c r="S102">
        <v>6.5</v>
      </c>
      <c r="U102">
        <v>8.75</v>
      </c>
    </row>
    <row r="103" spans="1:21" x14ac:dyDescent="0.25">
      <c r="A103">
        <v>1.25</v>
      </c>
      <c r="D103">
        <v>5</v>
      </c>
      <c r="Q103">
        <v>5.25</v>
      </c>
      <c r="S103">
        <v>5</v>
      </c>
      <c r="U103">
        <v>4.5</v>
      </c>
    </row>
    <row r="104" spans="1:21" x14ac:dyDescent="0.25">
      <c r="A104">
        <v>1.5</v>
      </c>
      <c r="D104">
        <v>5</v>
      </c>
      <c r="Q104">
        <v>5</v>
      </c>
      <c r="S104">
        <v>2.5</v>
      </c>
      <c r="U104">
        <v>4</v>
      </c>
    </row>
    <row r="105" spans="1:21" x14ac:dyDescent="0.25">
      <c r="A105">
        <v>6.75</v>
      </c>
      <c r="D105">
        <v>4</v>
      </c>
      <c r="Q105">
        <v>5</v>
      </c>
      <c r="S105">
        <v>5</v>
      </c>
      <c r="U105">
        <v>8.75</v>
      </c>
    </row>
    <row r="106" spans="1:21" x14ac:dyDescent="0.25">
      <c r="A106">
        <v>5</v>
      </c>
      <c r="D106">
        <v>4</v>
      </c>
      <c r="Q106">
        <v>7.5</v>
      </c>
      <c r="S106">
        <v>1</v>
      </c>
      <c r="U106">
        <v>9</v>
      </c>
    </row>
    <row r="107" spans="1:21" x14ac:dyDescent="0.25">
      <c r="A107">
        <v>5</v>
      </c>
      <c r="D107">
        <v>5</v>
      </c>
      <c r="Q107">
        <v>5</v>
      </c>
      <c r="S107">
        <v>4</v>
      </c>
      <c r="U107">
        <v>6.25</v>
      </c>
    </row>
    <row r="108" spans="1:21" x14ac:dyDescent="0.25">
      <c r="A108">
        <v>7</v>
      </c>
      <c r="D108">
        <v>9</v>
      </c>
      <c r="Q108">
        <v>5.25</v>
      </c>
      <c r="S108">
        <v>5</v>
      </c>
      <c r="U108">
        <v>7.25</v>
      </c>
    </row>
    <row r="109" spans="1:21" x14ac:dyDescent="0.25">
      <c r="A109">
        <v>9</v>
      </c>
      <c r="D109">
        <v>4.25</v>
      </c>
      <c r="Q109">
        <v>5</v>
      </c>
      <c r="S109">
        <v>1.5</v>
      </c>
      <c r="U109">
        <v>0.75</v>
      </c>
    </row>
    <row r="110" spans="1:21" x14ac:dyDescent="0.25">
      <c r="A110">
        <v>1</v>
      </c>
      <c r="D110">
        <v>5.5</v>
      </c>
      <c r="Q110">
        <v>7.5</v>
      </c>
      <c r="S110">
        <v>5</v>
      </c>
      <c r="U110">
        <v>4.5</v>
      </c>
    </row>
    <row r="111" spans="1:21" x14ac:dyDescent="0.25">
      <c r="A111">
        <v>3.25</v>
      </c>
      <c r="D111">
        <v>5</v>
      </c>
      <c r="Q111">
        <v>5</v>
      </c>
      <c r="S111">
        <v>5</v>
      </c>
      <c r="U111">
        <v>8</v>
      </c>
    </row>
    <row r="112" spans="1:21" x14ac:dyDescent="0.25">
      <c r="A112">
        <v>5</v>
      </c>
      <c r="D112">
        <v>5</v>
      </c>
      <c r="Q112">
        <v>3.75</v>
      </c>
      <c r="S112">
        <v>4.5</v>
      </c>
      <c r="U112">
        <v>8</v>
      </c>
    </row>
    <row r="113" spans="1:21" x14ac:dyDescent="0.25">
      <c r="A113">
        <v>1</v>
      </c>
      <c r="D113">
        <v>1.5</v>
      </c>
      <c r="Q113">
        <v>4</v>
      </c>
      <c r="S113">
        <v>3.5</v>
      </c>
      <c r="U113">
        <v>0.25</v>
      </c>
    </row>
    <row r="114" spans="1:21" x14ac:dyDescent="0.25">
      <c r="A114">
        <v>4</v>
      </c>
      <c r="D114">
        <v>4.5</v>
      </c>
      <c r="Q114">
        <v>5</v>
      </c>
      <c r="S114">
        <v>14.25</v>
      </c>
      <c r="U114">
        <v>20.25</v>
      </c>
    </row>
    <row r="115" spans="1:21" x14ac:dyDescent="0.25">
      <c r="A115">
        <v>1</v>
      </c>
      <c r="D115">
        <v>3</v>
      </c>
      <c r="Q115">
        <v>5</v>
      </c>
      <c r="S115">
        <v>0.5</v>
      </c>
      <c r="U115">
        <v>0.75</v>
      </c>
    </row>
    <row r="116" spans="1:21" x14ac:dyDescent="0.25">
      <c r="A116">
        <v>7.5</v>
      </c>
      <c r="D116">
        <v>5</v>
      </c>
      <c r="Q116">
        <v>5</v>
      </c>
      <c r="S116">
        <v>3.5</v>
      </c>
      <c r="U116">
        <v>8</v>
      </c>
    </row>
    <row r="117" spans="1:21" x14ac:dyDescent="0.25">
      <c r="A117">
        <v>5</v>
      </c>
      <c r="D117">
        <v>3</v>
      </c>
      <c r="Q117">
        <v>8.25</v>
      </c>
      <c r="S117">
        <v>5.25</v>
      </c>
      <c r="U117">
        <v>4</v>
      </c>
    </row>
    <row r="118" spans="1:21" x14ac:dyDescent="0.25">
      <c r="A118">
        <v>3.5</v>
      </c>
      <c r="D118">
        <v>5</v>
      </c>
      <c r="Q118">
        <v>3</v>
      </c>
      <c r="S118">
        <v>3</v>
      </c>
      <c r="U118">
        <v>5.25</v>
      </c>
    </row>
    <row r="119" spans="1:21" x14ac:dyDescent="0.25">
      <c r="A119">
        <v>5</v>
      </c>
      <c r="D119">
        <v>2.25</v>
      </c>
      <c r="Q119">
        <v>3.5</v>
      </c>
      <c r="S119">
        <v>7.5</v>
      </c>
      <c r="U119">
        <v>1.75</v>
      </c>
    </row>
    <row r="120" spans="1:21" x14ac:dyDescent="0.25">
      <c r="A120">
        <v>5</v>
      </c>
      <c r="D120">
        <v>5</v>
      </c>
      <c r="Q120">
        <v>6.25</v>
      </c>
      <c r="S120">
        <v>7.5</v>
      </c>
      <c r="U120">
        <v>8</v>
      </c>
    </row>
    <row r="121" spans="1:21" x14ac:dyDescent="0.25">
      <c r="A121">
        <v>5</v>
      </c>
      <c r="D121">
        <v>3</v>
      </c>
      <c r="Q121">
        <v>4</v>
      </c>
      <c r="S121">
        <v>0.75</v>
      </c>
      <c r="U121">
        <v>2.25</v>
      </c>
    </row>
    <row r="122" spans="1:21" x14ac:dyDescent="0.25">
      <c r="A122">
        <v>5</v>
      </c>
      <c r="D122">
        <v>5</v>
      </c>
      <c r="Q122">
        <v>5</v>
      </c>
      <c r="S122">
        <v>2</v>
      </c>
      <c r="U122">
        <v>7.25</v>
      </c>
    </row>
    <row r="123" spans="1:21" x14ac:dyDescent="0.25">
      <c r="A123">
        <v>5</v>
      </c>
      <c r="D123">
        <v>9</v>
      </c>
      <c r="Q123">
        <v>5</v>
      </c>
      <c r="S123">
        <v>5</v>
      </c>
      <c r="U123">
        <v>1.5</v>
      </c>
    </row>
    <row r="124" spans="1:21" x14ac:dyDescent="0.25">
      <c r="A124">
        <v>5</v>
      </c>
      <c r="D124">
        <v>1</v>
      </c>
      <c r="Q124">
        <v>2.25</v>
      </c>
      <c r="S124">
        <v>5</v>
      </c>
      <c r="U124">
        <v>1.25</v>
      </c>
    </row>
    <row r="125" spans="1:21" x14ac:dyDescent="0.25">
      <c r="A125">
        <v>5</v>
      </c>
      <c r="D125">
        <v>4.5</v>
      </c>
      <c r="Q125">
        <v>5</v>
      </c>
      <c r="S125">
        <v>5</v>
      </c>
      <c r="U125">
        <v>7.5</v>
      </c>
    </row>
    <row r="126" spans="1:21" x14ac:dyDescent="0.25">
      <c r="A126">
        <v>5</v>
      </c>
      <c r="D126">
        <v>3.75</v>
      </c>
      <c r="Q126">
        <v>5</v>
      </c>
      <c r="S126">
        <v>5.25</v>
      </c>
      <c r="U126">
        <v>8.25</v>
      </c>
    </row>
    <row r="127" spans="1:21" x14ac:dyDescent="0.25">
      <c r="A127">
        <v>3.75</v>
      </c>
      <c r="D127">
        <v>5</v>
      </c>
      <c r="Q127">
        <v>5</v>
      </c>
      <c r="S127">
        <v>1.5</v>
      </c>
      <c r="U127">
        <v>3</v>
      </c>
    </row>
    <row r="128" spans="1:21" x14ac:dyDescent="0.25">
      <c r="A128">
        <v>5</v>
      </c>
      <c r="D128">
        <v>2.5</v>
      </c>
      <c r="Q128">
        <v>5</v>
      </c>
      <c r="S128">
        <v>5</v>
      </c>
    </row>
    <row r="129" spans="1:19" x14ac:dyDescent="0.25">
      <c r="A129">
        <v>7.25</v>
      </c>
      <c r="D129">
        <v>1.875</v>
      </c>
      <c r="Q129">
        <v>5</v>
      </c>
      <c r="S129">
        <v>0.75</v>
      </c>
    </row>
    <row r="130" spans="1:19" x14ac:dyDescent="0.25">
      <c r="A130">
        <v>5</v>
      </c>
      <c r="D130">
        <v>5</v>
      </c>
      <c r="Q130">
        <v>5</v>
      </c>
      <c r="S130">
        <v>0.75</v>
      </c>
    </row>
    <row r="131" spans="1:19" x14ac:dyDescent="0.25">
      <c r="A131">
        <v>5</v>
      </c>
      <c r="D131">
        <v>0.5</v>
      </c>
      <c r="Q131">
        <v>5</v>
      </c>
      <c r="S131">
        <v>7.5</v>
      </c>
    </row>
    <row r="132" spans="1:19" x14ac:dyDescent="0.25">
      <c r="A132">
        <v>5</v>
      </c>
      <c r="D132">
        <v>5</v>
      </c>
      <c r="Q132">
        <v>5</v>
      </c>
      <c r="S132">
        <v>3.375</v>
      </c>
    </row>
    <row r="133" spans="1:19" x14ac:dyDescent="0.25">
      <c r="A133">
        <v>5.25</v>
      </c>
      <c r="D133">
        <v>5</v>
      </c>
      <c r="Q133">
        <v>5</v>
      </c>
      <c r="S133">
        <v>11.25</v>
      </c>
    </row>
    <row r="134" spans="1:19" x14ac:dyDescent="0.25">
      <c r="A134">
        <v>5</v>
      </c>
      <c r="D134">
        <v>5</v>
      </c>
      <c r="Q134">
        <v>5</v>
      </c>
      <c r="S134">
        <v>7.5</v>
      </c>
    </row>
    <row r="135" spans="1:19" x14ac:dyDescent="0.25">
      <c r="A135">
        <v>5</v>
      </c>
      <c r="D135">
        <v>5</v>
      </c>
      <c r="Q135">
        <v>5</v>
      </c>
      <c r="S135">
        <v>7.125</v>
      </c>
    </row>
    <row r="136" spans="1:19" x14ac:dyDescent="0.25">
      <c r="A136">
        <v>3</v>
      </c>
      <c r="D136">
        <v>0.5</v>
      </c>
      <c r="Q136">
        <v>3.25</v>
      </c>
      <c r="S136">
        <v>7.5</v>
      </c>
    </row>
    <row r="137" spans="1:19" x14ac:dyDescent="0.25">
      <c r="A137">
        <v>5</v>
      </c>
      <c r="D137">
        <v>5</v>
      </c>
      <c r="Q137">
        <v>4.25</v>
      </c>
      <c r="S137">
        <v>7.5</v>
      </c>
    </row>
    <row r="138" spans="1:19" x14ac:dyDescent="0.25">
      <c r="A138">
        <v>5</v>
      </c>
      <c r="D138">
        <v>5.25</v>
      </c>
      <c r="Q138">
        <v>5</v>
      </c>
      <c r="S138">
        <v>7.5</v>
      </c>
    </row>
    <row r="139" spans="1:19" x14ac:dyDescent="0.25">
      <c r="A139">
        <v>7</v>
      </c>
      <c r="D139">
        <v>5</v>
      </c>
      <c r="Q139">
        <v>5</v>
      </c>
      <c r="S139">
        <v>4.75</v>
      </c>
    </row>
    <row r="140" spans="1:19" x14ac:dyDescent="0.25">
      <c r="A140">
        <v>5</v>
      </c>
      <c r="D140">
        <v>1.5</v>
      </c>
      <c r="Q140">
        <v>5</v>
      </c>
      <c r="S140">
        <v>4.5</v>
      </c>
    </row>
    <row r="141" spans="1:19" x14ac:dyDescent="0.25">
      <c r="A141">
        <v>5</v>
      </c>
      <c r="D141">
        <v>5</v>
      </c>
      <c r="Q141">
        <v>5</v>
      </c>
      <c r="S141">
        <v>5</v>
      </c>
    </row>
    <row r="142" spans="1:19" x14ac:dyDescent="0.25">
      <c r="A142">
        <v>1.5</v>
      </c>
      <c r="D142">
        <v>5</v>
      </c>
      <c r="Q142">
        <v>5</v>
      </c>
      <c r="S142">
        <v>5</v>
      </c>
    </row>
    <row r="143" spans="1:19" x14ac:dyDescent="0.25">
      <c r="A143">
        <v>5</v>
      </c>
      <c r="D143">
        <v>1.25</v>
      </c>
      <c r="Q143">
        <v>5</v>
      </c>
      <c r="S143">
        <v>5</v>
      </c>
    </row>
    <row r="144" spans="1:19" x14ac:dyDescent="0.25">
      <c r="A144">
        <v>3.5</v>
      </c>
      <c r="D144">
        <v>5</v>
      </c>
      <c r="Q144">
        <v>5.25</v>
      </c>
      <c r="S144">
        <v>3.25</v>
      </c>
    </row>
    <row r="145" spans="1:19" x14ac:dyDescent="0.25">
      <c r="A145">
        <v>3.5</v>
      </c>
      <c r="D145">
        <v>2.75</v>
      </c>
      <c r="Q145">
        <v>3</v>
      </c>
      <c r="S145">
        <v>6.75</v>
      </c>
    </row>
    <row r="146" spans="1:19" x14ac:dyDescent="0.25">
      <c r="A146">
        <v>5</v>
      </c>
      <c r="D146">
        <v>5</v>
      </c>
      <c r="Q146">
        <v>3.5</v>
      </c>
      <c r="S146">
        <v>10.5</v>
      </c>
    </row>
    <row r="147" spans="1:19" x14ac:dyDescent="0.25">
      <c r="A147">
        <v>2.25</v>
      </c>
      <c r="D147">
        <v>3</v>
      </c>
      <c r="Q147">
        <v>5</v>
      </c>
      <c r="S147">
        <v>5</v>
      </c>
    </row>
    <row r="148" spans="1:19" x14ac:dyDescent="0.25">
      <c r="A148">
        <v>9</v>
      </c>
      <c r="D148">
        <v>10</v>
      </c>
      <c r="Q148">
        <v>4.75</v>
      </c>
      <c r="S148">
        <v>5</v>
      </c>
    </row>
    <row r="149" spans="1:19" x14ac:dyDescent="0.25">
      <c r="A149">
        <v>7.5</v>
      </c>
      <c r="D149">
        <v>8.25</v>
      </c>
      <c r="Q149">
        <v>5</v>
      </c>
      <c r="S149">
        <v>3.25</v>
      </c>
    </row>
    <row r="150" spans="1:19" x14ac:dyDescent="0.25">
      <c r="A150">
        <v>8.5</v>
      </c>
      <c r="D150">
        <v>5</v>
      </c>
      <c r="Q150">
        <v>2</v>
      </c>
      <c r="S150">
        <v>12</v>
      </c>
    </row>
    <row r="151" spans="1:19" x14ac:dyDescent="0.25">
      <c r="A151">
        <v>8.75</v>
      </c>
      <c r="D151">
        <v>1.25</v>
      </c>
      <c r="Q151">
        <v>5</v>
      </c>
      <c r="S151">
        <v>7.5</v>
      </c>
    </row>
    <row r="152" spans="1:19" x14ac:dyDescent="0.25">
      <c r="A152">
        <v>4.5</v>
      </c>
      <c r="D152">
        <v>9.75</v>
      </c>
      <c r="Q152">
        <v>5</v>
      </c>
      <c r="S152">
        <v>2.25</v>
      </c>
    </row>
    <row r="153" spans="1:19" x14ac:dyDescent="0.25">
      <c r="A153">
        <v>5</v>
      </c>
      <c r="D153">
        <v>5</v>
      </c>
      <c r="Q153">
        <v>5</v>
      </c>
      <c r="S153">
        <v>2.625</v>
      </c>
    </row>
    <row r="154" spans="1:19" x14ac:dyDescent="0.25">
      <c r="A154">
        <v>5</v>
      </c>
      <c r="D154">
        <v>5</v>
      </c>
      <c r="Q154">
        <v>5.25</v>
      </c>
      <c r="S154">
        <v>0.5</v>
      </c>
    </row>
    <row r="155" spans="1:19" x14ac:dyDescent="0.25">
      <c r="A155">
        <v>5</v>
      </c>
      <c r="D155">
        <v>4.75</v>
      </c>
      <c r="Q155">
        <v>5</v>
      </c>
      <c r="S155">
        <v>7.5</v>
      </c>
    </row>
    <row r="156" spans="1:19" x14ac:dyDescent="0.25">
      <c r="A156">
        <v>5</v>
      </c>
      <c r="D156">
        <v>5</v>
      </c>
      <c r="Q156">
        <v>7</v>
      </c>
      <c r="S156">
        <v>7.5</v>
      </c>
    </row>
    <row r="157" spans="1:19" x14ac:dyDescent="0.25">
      <c r="A157">
        <v>7.5</v>
      </c>
      <c r="D157">
        <v>5</v>
      </c>
      <c r="Q157">
        <v>5</v>
      </c>
      <c r="S157">
        <v>7.5</v>
      </c>
    </row>
    <row r="158" spans="1:19" x14ac:dyDescent="0.25">
      <c r="A158">
        <v>10</v>
      </c>
      <c r="D158">
        <v>10</v>
      </c>
      <c r="Q158">
        <v>2.5</v>
      </c>
      <c r="S158">
        <v>7.5</v>
      </c>
    </row>
    <row r="159" spans="1:19" x14ac:dyDescent="0.25">
      <c r="A159">
        <v>10</v>
      </c>
      <c r="D159">
        <v>10</v>
      </c>
      <c r="Q159">
        <v>5</v>
      </c>
      <c r="S159">
        <v>7.5</v>
      </c>
    </row>
    <row r="160" spans="1:19" x14ac:dyDescent="0.25">
      <c r="A160">
        <v>9.75</v>
      </c>
      <c r="D160">
        <v>5</v>
      </c>
      <c r="Q160">
        <v>5.5</v>
      </c>
      <c r="S160">
        <v>7.125</v>
      </c>
    </row>
    <row r="161" spans="1:19" x14ac:dyDescent="0.25">
      <c r="A161">
        <v>3.5</v>
      </c>
      <c r="D161">
        <v>4</v>
      </c>
      <c r="Q161">
        <v>5</v>
      </c>
      <c r="S161">
        <v>5.625</v>
      </c>
    </row>
    <row r="162" spans="1:19" x14ac:dyDescent="0.25">
      <c r="A162">
        <v>3</v>
      </c>
      <c r="D162">
        <v>3.75</v>
      </c>
      <c r="Q162">
        <v>2</v>
      </c>
      <c r="S162">
        <v>3.375</v>
      </c>
    </row>
    <row r="163" spans="1:19" x14ac:dyDescent="0.25">
      <c r="A163">
        <v>5.5</v>
      </c>
      <c r="D163">
        <v>5</v>
      </c>
      <c r="Q163">
        <v>5</v>
      </c>
      <c r="S163">
        <v>1.25</v>
      </c>
    </row>
    <row r="164" spans="1:19" x14ac:dyDescent="0.25">
      <c r="A164">
        <v>5</v>
      </c>
      <c r="D164">
        <v>5</v>
      </c>
      <c r="Q164">
        <v>7.25</v>
      </c>
      <c r="S164">
        <v>3.75</v>
      </c>
    </row>
    <row r="165" spans="1:19" x14ac:dyDescent="0.25">
      <c r="A165">
        <v>5.25</v>
      </c>
      <c r="D165">
        <v>5</v>
      </c>
      <c r="Q165">
        <v>5</v>
      </c>
      <c r="S165">
        <v>5</v>
      </c>
    </row>
    <row r="166" spans="1:19" x14ac:dyDescent="0.25">
      <c r="A166">
        <v>5</v>
      </c>
      <c r="D166">
        <v>12</v>
      </c>
      <c r="Q166">
        <v>2.5</v>
      </c>
      <c r="S166">
        <v>7.5</v>
      </c>
    </row>
    <row r="167" spans="1:19" x14ac:dyDescent="0.25">
      <c r="A167">
        <v>5</v>
      </c>
      <c r="D167">
        <v>7.5</v>
      </c>
      <c r="Q167">
        <v>4.25</v>
      </c>
      <c r="S167">
        <v>10.5</v>
      </c>
    </row>
    <row r="168" spans="1:19" x14ac:dyDescent="0.25">
      <c r="A168">
        <v>5</v>
      </c>
      <c r="D168">
        <v>12.75</v>
      </c>
      <c r="Q168">
        <v>1.25</v>
      </c>
      <c r="S168">
        <v>0.75</v>
      </c>
    </row>
    <row r="169" spans="1:19" x14ac:dyDescent="0.25">
      <c r="A169">
        <v>5</v>
      </c>
      <c r="D169">
        <v>3</v>
      </c>
      <c r="Q169">
        <v>6.75</v>
      </c>
      <c r="S169">
        <v>3</v>
      </c>
    </row>
    <row r="170" spans="1:19" x14ac:dyDescent="0.25">
      <c r="A170">
        <v>1</v>
      </c>
      <c r="D170">
        <v>2.25</v>
      </c>
      <c r="Q170">
        <v>5</v>
      </c>
      <c r="S170">
        <v>7.5</v>
      </c>
    </row>
    <row r="171" spans="1:19" x14ac:dyDescent="0.25">
      <c r="A171">
        <v>5</v>
      </c>
      <c r="D171">
        <v>6</v>
      </c>
      <c r="Q171">
        <v>5</v>
      </c>
      <c r="S171">
        <v>7.5</v>
      </c>
    </row>
    <row r="172" spans="1:19" x14ac:dyDescent="0.25">
      <c r="A172">
        <v>5</v>
      </c>
      <c r="D172">
        <v>7.5</v>
      </c>
      <c r="Q172">
        <v>7</v>
      </c>
      <c r="S172">
        <v>5</v>
      </c>
    </row>
    <row r="173" spans="1:19" x14ac:dyDescent="0.25">
      <c r="A173">
        <v>5</v>
      </c>
      <c r="D173">
        <v>5.625</v>
      </c>
      <c r="Q173">
        <v>5</v>
      </c>
      <c r="S173">
        <v>5</v>
      </c>
    </row>
    <row r="174" spans="1:19" x14ac:dyDescent="0.25">
      <c r="A174">
        <v>5</v>
      </c>
      <c r="D174">
        <v>4</v>
      </c>
      <c r="Q174">
        <v>5</v>
      </c>
      <c r="S174">
        <v>4</v>
      </c>
    </row>
    <row r="175" spans="1:19" x14ac:dyDescent="0.25">
      <c r="A175">
        <v>5</v>
      </c>
      <c r="D175">
        <v>7.5</v>
      </c>
      <c r="Q175">
        <v>5</v>
      </c>
      <c r="S175">
        <v>7.5</v>
      </c>
    </row>
    <row r="176" spans="1:19" x14ac:dyDescent="0.25">
      <c r="A176">
        <v>4.25</v>
      </c>
      <c r="D176">
        <v>12.75</v>
      </c>
      <c r="Q176">
        <v>5</v>
      </c>
      <c r="S176">
        <v>7.5</v>
      </c>
    </row>
    <row r="177" spans="1:19" x14ac:dyDescent="0.25">
      <c r="A177">
        <v>5.25</v>
      </c>
      <c r="D177">
        <v>7.5</v>
      </c>
      <c r="Q177">
        <v>5</v>
      </c>
      <c r="S177">
        <v>3</v>
      </c>
    </row>
    <row r="178" spans="1:19" x14ac:dyDescent="0.25">
      <c r="A178">
        <v>5</v>
      </c>
      <c r="D178">
        <v>7.5</v>
      </c>
      <c r="Q178">
        <v>5</v>
      </c>
      <c r="S178">
        <v>5</v>
      </c>
    </row>
    <row r="179" spans="1:19" x14ac:dyDescent="0.25">
      <c r="A179">
        <v>7</v>
      </c>
      <c r="D179">
        <v>3</v>
      </c>
      <c r="Q179">
        <v>5</v>
      </c>
      <c r="S179">
        <v>7.5</v>
      </c>
    </row>
    <row r="180" spans="1:19" x14ac:dyDescent="0.25">
      <c r="A180">
        <v>2.5</v>
      </c>
      <c r="D180">
        <v>5.625</v>
      </c>
      <c r="Q180">
        <v>5</v>
      </c>
      <c r="S180">
        <v>4.875</v>
      </c>
    </row>
    <row r="181" spans="1:19" x14ac:dyDescent="0.25">
      <c r="A181">
        <v>3.75</v>
      </c>
      <c r="D181">
        <v>5</v>
      </c>
      <c r="Q181">
        <v>5</v>
      </c>
      <c r="S181">
        <v>7.5</v>
      </c>
    </row>
    <row r="182" spans="1:19" x14ac:dyDescent="0.25">
      <c r="A182">
        <v>6.75</v>
      </c>
      <c r="D182">
        <v>5</v>
      </c>
      <c r="Q182">
        <v>7.25</v>
      </c>
      <c r="S182">
        <v>5</v>
      </c>
    </row>
    <row r="183" spans="1:19" x14ac:dyDescent="0.25">
      <c r="A183">
        <v>4.75</v>
      </c>
      <c r="D183">
        <v>2.25</v>
      </c>
      <c r="Q183">
        <v>5</v>
      </c>
      <c r="S183">
        <v>3</v>
      </c>
    </row>
    <row r="184" spans="1:19" x14ac:dyDescent="0.25">
      <c r="A184">
        <v>5</v>
      </c>
      <c r="D184">
        <v>5</v>
      </c>
      <c r="Q184">
        <v>5</v>
      </c>
      <c r="S184">
        <v>2.25</v>
      </c>
    </row>
    <row r="185" spans="1:19" x14ac:dyDescent="0.25">
      <c r="A185">
        <v>7</v>
      </c>
      <c r="D185">
        <v>5</v>
      </c>
      <c r="Q185">
        <v>3.375</v>
      </c>
      <c r="S185">
        <v>0.75</v>
      </c>
    </row>
    <row r="186" spans="1:19" x14ac:dyDescent="0.25">
      <c r="A186">
        <v>2</v>
      </c>
      <c r="D186">
        <v>5</v>
      </c>
      <c r="Q186">
        <v>5</v>
      </c>
      <c r="S186">
        <v>5.625</v>
      </c>
    </row>
    <row r="187" spans="1:19" x14ac:dyDescent="0.25">
      <c r="A187">
        <v>4.25</v>
      </c>
      <c r="D187">
        <v>5</v>
      </c>
      <c r="Q187">
        <v>5</v>
      </c>
      <c r="S187">
        <v>7.5</v>
      </c>
    </row>
    <row r="188" spans="1:19" x14ac:dyDescent="0.25">
      <c r="A188">
        <v>1</v>
      </c>
      <c r="D188">
        <v>5</v>
      </c>
      <c r="Q188">
        <v>3</v>
      </c>
      <c r="S188">
        <v>6.75</v>
      </c>
    </row>
    <row r="189" spans="1:19" x14ac:dyDescent="0.25">
      <c r="A189">
        <v>5</v>
      </c>
      <c r="D189">
        <v>2.5</v>
      </c>
      <c r="Q189">
        <v>5</v>
      </c>
      <c r="S189">
        <v>7.5</v>
      </c>
    </row>
    <row r="190" spans="1:19" x14ac:dyDescent="0.25">
      <c r="A190">
        <v>9</v>
      </c>
      <c r="D190">
        <v>5</v>
      </c>
      <c r="Q190">
        <v>5</v>
      </c>
      <c r="S190">
        <v>2.75</v>
      </c>
    </row>
    <row r="191" spans="1:19" x14ac:dyDescent="0.25">
      <c r="A191">
        <v>4</v>
      </c>
      <c r="D191">
        <v>5</v>
      </c>
      <c r="Q191">
        <v>5</v>
      </c>
      <c r="S191">
        <v>1.5</v>
      </c>
    </row>
    <row r="192" spans="1:19" x14ac:dyDescent="0.25">
      <c r="A192">
        <v>2.5</v>
      </c>
      <c r="D192">
        <v>10</v>
      </c>
      <c r="Q192">
        <v>5</v>
      </c>
      <c r="S192">
        <v>2.25</v>
      </c>
    </row>
    <row r="193" spans="1:19" x14ac:dyDescent="0.25">
      <c r="A193">
        <v>4</v>
      </c>
      <c r="D193">
        <v>5</v>
      </c>
      <c r="Q193">
        <v>4.5</v>
      </c>
      <c r="S193">
        <v>7.125</v>
      </c>
    </row>
    <row r="194" spans="1:19" x14ac:dyDescent="0.25">
      <c r="A194">
        <v>5</v>
      </c>
      <c r="D194">
        <v>5</v>
      </c>
      <c r="Q194">
        <v>4.5</v>
      </c>
      <c r="S194">
        <v>7.125</v>
      </c>
    </row>
    <row r="195" spans="1:19" x14ac:dyDescent="0.25">
      <c r="A195">
        <v>5</v>
      </c>
      <c r="D195">
        <v>5</v>
      </c>
      <c r="Q195">
        <v>4.75</v>
      </c>
      <c r="S195">
        <v>5</v>
      </c>
    </row>
    <row r="196" spans="1:19" x14ac:dyDescent="0.25">
      <c r="A196">
        <v>4</v>
      </c>
      <c r="D196">
        <v>3.5</v>
      </c>
      <c r="Q196">
        <v>0.25</v>
      </c>
      <c r="S196">
        <v>7.5</v>
      </c>
    </row>
    <row r="197" spans="1:19" x14ac:dyDescent="0.25">
      <c r="A197">
        <v>5</v>
      </c>
      <c r="D197">
        <v>2.25</v>
      </c>
      <c r="Q197">
        <v>1.5</v>
      </c>
      <c r="S197">
        <v>3</v>
      </c>
    </row>
    <row r="198" spans="1:19" x14ac:dyDescent="0.25">
      <c r="A198">
        <v>5</v>
      </c>
      <c r="D198">
        <v>5</v>
      </c>
      <c r="Q198">
        <v>5</v>
      </c>
      <c r="S198">
        <v>7.125</v>
      </c>
    </row>
    <row r="199" spans="1:19" x14ac:dyDescent="0.25">
      <c r="A199">
        <v>5</v>
      </c>
      <c r="D199">
        <v>10</v>
      </c>
      <c r="Q199">
        <v>6.25</v>
      </c>
      <c r="S199">
        <v>7.875</v>
      </c>
    </row>
    <row r="200" spans="1:19" x14ac:dyDescent="0.25">
      <c r="A200">
        <v>5</v>
      </c>
      <c r="D200">
        <v>7.5</v>
      </c>
      <c r="Q200">
        <v>7.5</v>
      </c>
      <c r="S200">
        <v>7.125</v>
      </c>
    </row>
    <row r="201" spans="1:19" x14ac:dyDescent="0.25">
      <c r="A201">
        <v>5</v>
      </c>
      <c r="D201">
        <v>6.75</v>
      </c>
      <c r="Q201">
        <v>3.375</v>
      </c>
      <c r="S201">
        <v>11.25</v>
      </c>
    </row>
    <row r="202" spans="1:19" x14ac:dyDescent="0.25">
      <c r="A202">
        <v>4</v>
      </c>
      <c r="D202">
        <v>5</v>
      </c>
      <c r="Q202">
        <v>7.5</v>
      </c>
      <c r="S202">
        <v>7.5</v>
      </c>
    </row>
    <row r="203" spans="1:19" x14ac:dyDescent="0.25">
      <c r="A203">
        <v>3.25</v>
      </c>
      <c r="D203">
        <v>6.75</v>
      </c>
      <c r="Q203">
        <v>6.375</v>
      </c>
      <c r="S203">
        <v>8.625</v>
      </c>
    </row>
    <row r="204" spans="1:19" x14ac:dyDescent="0.25">
      <c r="A204">
        <v>5</v>
      </c>
      <c r="D204">
        <v>7.5</v>
      </c>
      <c r="Q204">
        <v>7.875</v>
      </c>
      <c r="S204">
        <v>7.5</v>
      </c>
    </row>
    <row r="205" spans="1:19" x14ac:dyDescent="0.25">
      <c r="A205">
        <v>5</v>
      </c>
      <c r="D205">
        <v>6.75</v>
      </c>
      <c r="Q205">
        <v>3</v>
      </c>
      <c r="S205">
        <v>7.5</v>
      </c>
    </row>
    <row r="206" spans="1:19" x14ac:dyDescent="0.25">
      <c r="A206">
        <v>1</v>
      </c>
      <c r="D206">
        <v>2</v>
      </c>
      <c r="Q206">
        <v>3</v>
      </c>
      <c r="S206">
        <v>8.25</v>
      </c>
    </row>
    <row r="207" spans="1:19" x14ac:dyDescent="0.25">
      <c r="A207">
        <v>4</v>
      </c>
      <c r="D207">
        <v>5.25</v>
      </c>
      <c r="Q207">
        <v>7.5</v>
      </c>
      <c r="S207">
        <v>5</v>
      </c>
    </row>
    <row r="208" spans="1:19" x14ac:dyDescent="0.25">
      <c r="A208">
        <v>1.25</v>
      </c>
      <c r="D208">
        <v>6</v>
      </c>
      <c r="Q208">
        <v>7.125</v>
      </c>
      <c r="S208">
        <v>6</v>
      </c>
    </row>
    <row r="209" spans="1:19" x14ac:dyDescent="0.25">
      <c r="A209">
        <v>4</v>
      </c>
      <c r="D209">
        <v>2.5</v>
      </c>
      <c r="Q209">
        <v>5</v>
      </c>
      <c r="S209">
        <v>5</v>
      </c>
    </row>
    <row r="210" spans="1:19" x14ac:dyDescent="0.25">
      <c r="A210">
        <v>1</v>
      </c>
      <c r="D210">
        <v>4</v>
      </c>
      <c r="Q210">
        <v>3.75</v>
      </c>
      <c r="S210">
        <v>7.5</v>
      </c>
    </row>
    <row r="211" spans="1:19" x14ac:dyDescent="0.25">
      <c r="A211">
        <v>2</v>
      </c>
      <c r="D211">
        <v>2.5</v>
      </c>
      <c r="Q211">
        <v>5</v>
      </c>
      <c r="S211">
        <v>7.5</v>
      </c>
    </row>
    <row r="212" spans="1:19" x14ac:dyDescent="0.25">
      <c r="A212">
        <v>6.75</v>
      </c>
      <c r="D212">
        <v>5</v>
      </c>
      <c r="Q212">
        <v>0.75</v>
      </c>
      <c r="S212">
        <v>11.25</v>
      </c>
    </row>
    <row r="213" spans="1:19" x14ac:dyDescent="0.25">
      <c r="A213">
        <v>5</v>
      </c>
      <c r="D213">
        <v>5.25</v>
      </c>
      <c r="Q213">
        <v>0.375</v>
      </c>
      <c r="S213">
        <v>5</v>
      </c>
    </row>
    <row r="214" spans="1:19" x14ac:dyDescent="0.25">
      <c r="A214">
        <v>5</v>
      </c>
      <c r="D214">
        <v>5</v>
      </c>
      <c r="Q214">
        <v>5</v>
      </c>
      <c r="S214">
        <v>6.75</v>
      </c>
    </row>
    <row r="215" spans="1:19" x14ac:dyDescent="0.25">
      <c r="A215">
        <v>2.5</v>
      </c>
      <c r="D215">
        <v>5.25</v>
      </c>
      <c r="Q215">
        <v>5</v>
      </c>
      <c r="S215">
        <v>10.5</v>
      </c>
    </row>
    <row r="216" spans="1:19" x14ac:dyDescent="0.25">
      <c r="A216">
        <v>10.5</v>
      </c>
      <c r="D216">
        <v>5</v>
      </c>
      <c r="Q216">
        <v>4.5</v>
      </c>
      <c r="S216">
        <v>3.5</v>
      </c>
    </row>
    <row r="217" spans="1:19" x14ac:dyDescent="0.25">
      <c r="A217">
        <v>5</v>
      </c>
      <c r="D217">
        <v>7.5</v>
      </c>
      <c r="Q217">
        <v>3.5</v>
      </c>
      <c r="S217">
        <v>2.25</v>
      </c>
    </row>
    <row r="218" spans="1:19" x14ac:dyDescent="0.25">
      <c r="A218">
        <v>3</v>
      </c>
      <c r="D218">
        <v>5</v>
      </c>
      <c r="Q218">
        <v>4</v>
      </c>
      <c r="S218">
        <v>5</v>
      </c>
    </row>
    <row r="219" spans="1:19" x14ac:dyDescent="0.25">
      <c r="A219">
        <v>5.625</v>
      </c>
      <c r="D219">
        <v>5</v>
      </c>
      <c r="Q219">
        <v>2.5</v>
      </c>
      <c r="S219">
        <v>7</v>
      </c>
    </row>
    <row r="220" spans="1:19" x14ac:dyDescent="0.25">
      <c r="A220">
        <v>3.375</v>
      </c>
      <c r="D220">
        <v>5</v>
      </c>
      <c r="Q220">
        <v>5</v>
      </c>
      <c r="S220">
        <v>5</v>
      </c>
    </row>
    <row r="221" spans="1:19" x14ac:dyDescent="0.25">
      <c r="A221">
        <v>0.5</v>
      </c>
      <c r="D221">
        <v>8.25</v>
      </c>
      <c r="Q221">
        <v>1.125</v>
      </c>
      <c r="S221">
        <v>5</v>
      </c>
    </row>
    <row r="222" spans="1:19" x14ac:dyDescent="0.25">
      <c r="A222">
        <v>5</v>
      </c>
      <c r="D222">
        <v>3.5</v>
      </c>
      <c r="Q222">
        <v>4.25</v>
      </c>
      <c r="S222">
        <v>4</v>
      </c>
    </row>
    <row r="223" spans="1:19" x14ac:dyDescent="0.25">
      <c r="A223">
        <v>5</v>
      </c>
      <c r="D223">
        <v>6.25</v>
      </c>
      <c r="Q223">
        <v>1</v>
      </c>
      <c r="S223">
        <v>0.75</v>
      </c>
    </row>
    <row r="224" spans="1:19" x14ac:dyDescent="0.25">
      <c r="A224">
        <v>3</v>
      </c>
      <c r="D224">
        <v>5</v>
      </c>
      <c r="Q224">
        <v>5</v>
      </c>
      <c r="S224">
        <v>1.125</v>
      </c>
    </row>
    <row r="225" spans="1:19" x14ac:dyDescent="0.25">
      <c r="A225">
        <v>10</v>
      </c>
      <c r="D225">
        <v>4</v>
      </c>
      <c r="Q225">
        <v>4.25</v>
      </c>
      <c r="S225">
        <v>0.375</v>
      </c>
    </row>
    <row r="226" spans="1:19" x14ac:dyDescent="0.25">
      <c r="A226">
        <v>5.25</v>
      </c>
      <c r="D226">
        <v>5</v>
      </c>
      <c r="Q226">
        <v>7.5</v>
      </c>
      <c r="S226">
        <v>4.5</v>
      </c>
    </row>
    <row r="227" spans="1:19" x14ac:dyDescent="0.25">
      <c r="A227">
        <v>3.75</v>
      </c>
      <c r="D227">
        <v>5</v>
      </c>
      <c r="Q227">
        <v>7.5</v>
      </c>
      <c r="S227">
        <v>2</v>
      </c>
    </row>
    <row r="228" spans="1:19" x14ac:dyDescent="0.25">
      <c r="A228">
        <v>5</v>
      </c>
      <c r="D228">
        <v>5</v>
      </c>
      <c r="Q228">
        <v>0.75</v>
      </c>
      <c r="S228">
        <v>10.5</v>
      </c>
    </row>
    <row r="229" spans="1:19" x14ac:dyDescent="0.25">
      <c r="A229">
        <v>7</v>
      </c>
      <c r="D229">
        <v>7</v>
      </c>
      <c r="Q229">
        <v>0.75</v>
      </c>
      <c r="S229">
        <v>0.375</v>
      </c>
    </row>
    <row r="230" spans="1:19" x14ac:dyDescent="0.25">
      <c r="A230">
        <v>5</v>
      </c>
      <c r="D230">
        <v>5</v>
      </c>
      <c r="Q230">
        <v>4</v>
      </c>
      <c r="S230">
        <v>4.75</v>
      </c>
    </row>
    <row r="231" spans="1:19" x14ac:dyDescent="0.25">
      <c r="A231">
        <v>6.5</v>
      </c>
      <c r="D231">
        <v>1</v>
      </c>
      <c r="Q231">
        <v>5</v>
      </c>
      <c r="S231">
        <v>5</v>
      </c>
    </row>
    <row r="232" spans="1:19" x14ac:dyDescent="0.25">
      <c r="A232">
        <v>5</v>
      </c>
      <c r="D232">
        <v>10</v>
      </c>
      <c r="Q232">
        <v>2.5</v>
      </c>
      <c r="S232">
        <v>1.5</v>
      </c>
    </row>
    <row r="233" spans="1:19" x14ac:dyDescent="0.25">
      <c r="A233">
        <v>5</v>
      </c>
      <c r="D233">
        <v>5</v>
      </c>
      <c r="Q233">
        <v>6.75</v>
      </c>
      <c r="S233">
        <v>2.625</v>
      </c>
    </row>
    <row r="234" spans="1:19" x14ac:dyDescent="0.25">
      <c r="A234">
        <v>5</v>
      </c>
      <c r="D234">
        <v>5</v>
      </c>
      <c r="Q234">
        <v>7.5</v>
      </c>
      <c r="S234">
        <v>11.25</v>
      </c>
    </row>
    <row r="235" spans="1:19" x14ac:dyDescent="0.25">
      <c r="A235">
        <v>3</v>
      </c>
      <c r="D235">
        <v>5</v>
      </c>
      <c r="Q235">
        <v>7.875</v>
      </c>
      <c r="S235">
        <v>3</v>
      </c>
    </row>
    <row r="236" spans="1:19" x14ac:dyDescent="0.25">
      <c r="A236">
        <v>5.25</v>
      </c>
      <c r="D236">
        <v>5</v>
      </c>
      <c r="Q236">
        <v>7.5</v>
      </c>
      <c r="S236">
        <v>2.625</v>
      </c>
    </row>
    <row r="237" spans="1:19" x14ac:dyDescent="0.25">
      <c r="A237">
        <v>6.5</v>
      </c>
      <c r="D237">
        <v>10</v>
      </c>
      <c r="Q237">
        <v>7.5</v>
      </c>
      <c r="S237">
        <v>11.25</v>
      </c>
    </row>
    <row r="238" spans="1:19" x14ac:dyDescent="0.25">
      <c r="A238">
        <v>2.25</v>
      </c>
      <c r="D238">
        <v>5</v>
      </c>
      <c r="Q238">
        <v>1.875</v>
      </c>
      <c r="S238">
        <v>3.25</v>
      </c>
    </row>
    <row r="239" spans="1:19" x14ac:dyDescent="0.25">
      <c r="A239">
        <v>5</v>
      </c>
      <c r="D239">
        <v>5</v>
      </c>
      <c r="Q239">
        <v>4.875</v>
      </c>
      <c r="S239">
        <v>5</v>
      </c>
    </row>
    <row r="240" spans="1:19" x14ac:dyDescent="0.25">
      <c r="A240">
        <v>6.75</v>
      </c>
      <c r="D240">
        <v>4.25</v>
      </c>
      <c r="Q240">
        <v>5</v>
      </c>
      <c r="S240">
        <v>5</v>
      </c>
    </row>
    <row r="241" spans="1:19" x14ac:dyDescent="0.25">
      <c r="A241">
        <v>6.5</v>
      </c>
      <c r="D241">
        <v>5</v>
      </c>
      <c r="Q241">
        <v>7</v>
      </c>
      <c r="S241">
        <v>5</v>
      </c>
    </row>
    <row r="242" spans="1:19" x14ac:dyDescent="0.25">
      <c r="A242">
        <v>3.5</v>
      </c>
      <c r="D242">
        <v>5</v>
      </c>
      <c r="Q242">
        <v>5</v>
      </c>
      <c r="S242">
        <v>2.5</v>
      </c>
    </row>
    <row r="243" spans="1:19" x14ac:dyDescent="0.25">
      <c r="A243">
        <v>3</v>
      </c>
      <c r="D243">
        <v>5</v>
      </c>
      <c r="Q243">
        <v>0.5</v>
      </c>
      <c r="S243">
        <v>4</v>
      </c>
    </row>
    <row r="244" spans="1:19" x14ac:dyDescent="0.25">
      <c r="A244">
        <v>5</v>
      </c>
      <c r="D244">
        <v>5</v>
      </c>
      <c r="Q244">
        <v>5</v>
      </c>
      <c r="S244">
        <v>5</v>
      </c>
    </row>
    <row r="245" spans="1:19" x14ac:dyDescent="0.25">
      <c r="A245">
        <v>2.25</v>
      </c>
      <c r="D245">
        <v>5</v>
      </c>
      <c r="Q245">
        <v>4.5</v>
      </c>
      <c r="S245">
        <v>4</v>
      </c>
    </row>
    <row r="246" spans="1:19" x14ac:dyDescent="0.25">
      <c r="A246">
        <v>5</v>
      </c>
      <c r="D246">
        <v>5</v>
      </c>
      <c r="Q246">
        <v>7.5</v>
      </c>
      <c r="S246">
        <v>4</v>
      </c>
    </row>
    <row r="247" spans="1:19" x14ac:dyDescent="0.25">
      <c r="A247">
        <v>0.5</v>
      </c>
      <c r="D247">
        <v>5.25</v>
      </c>
      <c r="Q247">
        <v>7.5</v>
      </c>
      <c r="S247">
        <v>0.75</v>
      </c>
    </row>
    <row r="248" spans="1:19" x14ac:dyDescent="0.25">
      <c r="A248">
        <v>6.5</v>
      </c>
      <c r="D248">
        <v>6.75</v>
      </c>
      <c r="Q248">
        <v>7.5</v>
      </c>
      <c r="S248">
        <v>5</v>
      </c>
    </row>
    <row r="249" spans="1:19" x14ac:dyDescent="0.25">
      <c r="A249">
        <v>5</v>
      </c>
      <c r="D249">
        <v>5</v>
      </c>
      <c r="Q249">
        <v>7.5</v>
      </c>
      <c r="S249">
        <v>4.25</v>
      </c>
    </row>
    <row r="250" spans="1:19" x14ac:dyDescent="0.25">
      <c r="A250">
        <v>5</v>
      </c>
      <c r="D250">
        <v>5</v>
      </c>
      <c r="Q250">
        <v>7.5</v>
      </c>
      <c r="S250">
        <v>5.5</v>
      </c>
    </row>
    <row r="251" spans="1:19" x14ac:dyDescent="0.25">
      <c r="A251">
        <v>7</v>
      </c>
      <c r="D251">
        <v>4.75</v>
      </c>
      <c r="Q251">
        <v>7.5</v>
      </c>
      <c r="S251">
        <v>2.25</v>
      </c>
    </row>
    <row r="252" spans="1:19" x14ac:dyDescent="0.25">
      <c r="A252">
        <v>8</v>
      </c>
      <c r="D252">
        <v>5</v>
      </c>
      <c r="Q252">
        <v>8.25</v>
      </c>
      <c r="S252">
        <v>5</v>
      </c>
    </row>
    <row r="253" spans="1:19" x14ac:dyDescent="0.25">
      <c r="A253">
        <v>5</v>
      </c>
      <c r="D253">
        <v>5</v>
      </c>
      <c r="Q253">
        <v>7.5</v>
      </c>
      <c r="S253">
        <v>4.5</v>
      </c>
    </row>
    <row r="254" spans="1:19" x14ac:dyDescent="0.25">
      <c r="A254">
        <v>5</v>
      </c>
      <c r="D254">
        <v>5</v>
      </c>
      <c r="Q254">
        <v>7.5</v>
      </c>
      <c r="S254">
        <v>3.75</v>
      </c>
    </row>
    <row r="255" spans="1:19" x14ac:dyDescent="0.25">
      <c r="A255">
        <v>3</v>
      </c>
      <c r="D255">
        <v>5.25</v>
      </c>
      <c r="Q255">
        <v>7.5</v>
      </c>
      <c r="S255">
        <v>5</v>
      </c>
    </row>
    <row r="256" spans="1:19" x14ac:dyDescent="0.25">
      <c r="A256">
        <v>8</v>
      </c>
      <c r="D256">
        <v>13.5</v>
      </c>
      <c r="Q256">
        <v>15.75</v>
      </c>
      <c r="S256">
        <v>0.5</v>
      </c>
    </row>
    <row r="257" spans="1:19" x14ac:dyDescent="0.25">
      <c r="A257">
        <v>0.25</v>
      </c>
      <c r="D257">
        <v>5</v>
      </c>
      <c r="Q257">
        <v>7.5</v>
      </c>
      <c r="S257">
        <v>5</v>
      </c>
    </row>
    <row r="258" spans="1:19" x14ac:dyDescent="0.25">
      <c r="A258">
        <v>3.5</v>
      </c>
      <c r="D258">
        <v>7</v>
      </c>
      <c r="Q258">
        <v>7.875</v>
      </c>
      <c r="S258">
        <v>5</v>
      </c>
    </row>
    <row r="259" spans="1:19" x14ac:dyDescent="0.25">
      <c r="A259">
        <v>5</v>
      </c>
      <c r="D259">
        <v>5</v>
      </c>
      <c r="Q259">
        <v>0.75</v>
      </c>
      <c r="S259">
        <v>1.25</v>
      </c>
    </row>
    <row r="260" spans="1:19" x14ac:dyDescent="0.25">
      <c r="A260">
        <v>5</v>
      </c>
      <c r="D260">
        <v>5</v>
      </c>
      <c r="Q260">
        <v>11.25</v>
      </c>
      <c r="S260">
        <v>3</v>
      </c>
    </row>
    <row r="261" spans="1:19" x14ac:dyDescent="0.25">
      <c r="A261">
        <v>5</v>
      </c>
      <c r="D261">
        <v>2.5</v>
      </c>
      <c r="Q261">
        <v>7.5</v>
      </c>
      <c r="S261">
        <v>5</v>
      </c>
    </row>
    <row r="262" spans="1:19" x14ac:dyDescent="0.25">
      <c r="A262">
        <v>5</v>
      </c>
      <c r="D262">
        <v>5</v>
      </c>
      <c r="Q262">
        <v>7.5</v>
      </c>
      <c r="S262">
        <v>4</v>
      </c>
    </row>
    <row r="263" spans="1:19" x14ac:dyDescent="0.25">
      <c r="A263">
        <v>5</v>
      </c>
      <c r="D263">
        <v>10</v>
      </c>
      <c r="Q263">
        <v>6</v>
      </c>
      <c r="S263">
        <v>7.5</v>
      </c>
    </row>
    <row r="264" spans="1:19" x14ac:dyDescent="0.25">
      <c r="A264">
        <v>10</v>
      </c>
      <c r="D264">
        <v>9</v>
      </c>
      <c r="Q264">
        <v>7.875</v>
      </c>
      <c r="S264">
        <v>7.125</v>
      </c>
    </row>
    <row r="265" spans="1:19" x14ac:dyDescent="0.25">
      <c r="A265">
        <v>3.75</v>
      </c>
      <c r="D265">
        <v>1</v>
      </c>
      <c r="Q265">
        <v>1.125</v>
      </c>
      <c r="S265">
        <v>4</v>
      </c>
    </row>
    <row r="266" spans="1:19" x14ac:dyDescent="0.25">
      <c r="A266">
        <v>20.25</v>
      </c>
      <c r="D266">
        <v>5</v>
      </c>
      <c r="Q266">
        <v>7.5</v>
      </c>
      <c r="S266">
        <v>5</v>
      </c>
    </row>
    <row r="267" spans="1:19" x14ac:dyDescent="0.25">
      <c r="A267">
        <v>5</v>
      </c>
      <c r="D267">
        <v>2.5</v>
      </c>
      <c r="Q267">
        <v>7.5</v>
      </c>
      <c r="S267">
        <v>5.625</v>
      </c>
    </row>
    <row r="268" spans="1:19" x14ac:dyDescent="0.25">
      <c r="A268">
        <v>5</v>
      </c>
      <c r="D268">
        <v>4.25</v>
      </c>
      <c r="Q268">
        <v>1.5</v>
      </c>
      <c r="S268">
        <v>5</v>
      </c>
    </row>
    <row r="269" spans="1:19" x14ac:dyDescent="0.25">
      <c r="A269">
        <v>5</v>
      </c>
      <c r="D269">
        <v>1.25</v>
      </c>
      <c r="Q269">
        <v>7.5</v>
      </c>
      <c r="S269">
        <v>5</v>
      </c>
    </row>
    <row r="270" spans="1:19" x14ac:dyDescent="0.25">
      <c r="A270">
        <v>5.25</v>
      </c>
      <c r="D270">
        <v>1.5</v>
      </c>
      <c r="Q270">
        <v>8.25</v>
      </c>
      <c r="S270">
        <v>4</v>
      </c>
    </row>
    <row r="271" spans="1:19" x14ac:dyDescent="0.25">
      <c r="A271">
        <v>1</v>
      </c>
      <c r="D271">
        <v>6.75</v>
      </c>
      <c r="Q271">
        <v>11.25</v>
      </c>
      <c r="S271">
        <v>5</v>
      </c>
    </row>
    <row r="272" spans="1:19" x14ac:dyDescent="0.25">
      <c r="A272">
        <v>5</v>
      </c>
      <c r="D272">
        <v>5</v>
      </c>
      <c r="Q272">
        <v>5</v>
      </c>
      <c r="S272">
        <v>5</v>
      </c>
    </row>
    <row r="273" spans="1:19" x14ac:dyDescent="0.25">
      <c r="A273">
        <v>10.5</v>
      </c>
      <c r="D273">
        <v>5</v>
      </c>
      <c r="Q273">
        <v>1.875</v>
      </c>
      <c r="S273">
        <v>5</v>
      </c>
    </row>
    <row r="274" spans="1:19" x14ac:dyDescent="0.25">
      <c r="A274">
        <v>5</v>
      </c>
      <c r="D274">
        <v>7</v>
      </c>
      <c r="Q274">
        <v>5</v>
      </c>
      <c r="S274">
        <v>2.5</v>
      </c>
    </row>
    <row r="275" spans="1:19" x14ac:dyDescent="0.25">
      <c r="A275">
        <v>3</v>
      </c>
      <c r="D275">
        <v>9</v>
      </c>
      <c r="Q275">
        <v>5</v>
      </c>
      <c r="S275">
        <v>5</v>
      </c>
    </row>
    <row r="276" spans="1:19" x14ac:dyDescent="0.25">
      <c r="A276">
        <v>4.5</v>
      </c>
      <c r="D276">
        <v>1</v>
      </c>
      <c r="Q276">
        <v>5</v>
      </c>
      <c r="S276">
        <v>3.5</v>
      </c>
    </row>
    <row r="277" spans="1:19" x14ac:dyDescent="0.25">
      <c r="A277">
        <v>4</v>
      </c>
      <c r="D277">
        <v>5</v>
      </c>
      <c r="Q277">
        <v>5</v>
      </c>
      <c r="S277">
        <v>2.25</v>
      </c>
    </row>
    <row r="278" spans="1:19" x14ac:dyDescent="0.25">
      <c r="A278">
        <v>0.75</v>
      </c>
      <c r="D278">
        <v>1</v>
      </c>
      <c r="Q278">
        <v>5</v>
      </c>
      <c r="S278">
        <v>5</v>
      </c>
    </row>
    <row r="279" spans="1:19" x14ac:dyDescent="0.25">
      <c r="A279">
        <v>1.125</v>
      </c>
      <c r="D279">
        <v>4</v>
      </c>
      <c r="Q279">
        <v>5.75</v>
      </c>
      <c r="S279">
        <v>6.75</v>
      </c>
    </row>
    <row r="280" spans="1:19" x14ac:dyDescent="0.25">
      <c r="A280">
        <v>1</v>
      </c>
      <c r="D280">
        <v>1</v>
      </c>
      <c r="Q280">
        <v>5.75</v>
      </c>
      <c r="S280">
        <v>5</v>
      </c>
    </row>
    <row r="281" spans="1:19" x14ac:dyDescent="0.25">
      <c r="A281">
        <v>0.375</v>
      </c>
      <c r="D281">
        <v>5</v>
      </c>
      <c r="Q281">
        <v>3</v>
      </c>
      <c r="S281">
        <v>5</v>
      </c>
    </row>
    <row r="282" spans="1:19" x14ac:dyDescent="0.25">
      <c r="A282">
        <v>5</v>
      </c>
      <c r="D282">
        <v>5</v>
      </c>
      <c r="Q282">
        <v>0.25</v>
      </c>
      <c r="S282">
        <v>5.625</v>
      </c>
    </row>
    <row r="283" spans="1:19" x14ac:dyDescent="0.25">
      <c r="A283">
        <v>5</v>
      </c>
      <c r="D283">
        <v>5</v>
      </c>
      <c r="Q283">
        <v>5</v>
      </c>
      <c r="S283">
        <v>2.5</v>
      </c>
    </row>
    <row r="284" spans="1:19" x14ac:dyDescent="0.25">
      <c r="A284">
        <v>5</v>
      </c>
      <c r="D284">
        <v>5</v>
      </c>
      <c r="Q284">
        <v>3</v>
      </c>
      <c r="S284">
        <v>7.5</v>
      </c>
    </row>
    <row r="285" spans="1:19" x14ac:dyDescent="0.25">
      <c r="A285">
        <v>5</v>
      </c>
      <c r="D285">
        <v>5</v>
      </c>
      <c r="Q285">
        <v>5</v>
      </c>
      <c r="S285">
        <v>6</v>
      </c>
    </row>
    <row r="286" spans="1:19" x14ac:dyDescent="0.25">
      <c r="A286">
        <v>3.25</v>
      </c>
      <c r="D286">
        <v>5</v>
      </c>
      <c r="Q286">
        <v>5</v>
      </c>
      <c r="S286">
        <v>1.5</v>
      </c>
    </row>
    <row r="287" spans="1:19" x14ac:dyDescent="0.25">
      <c r="A287">
        <v>4.5</v>
      </c>
      <c r="D287">
        <v>5</v>
      </c>
      <c r="Q287">
        <v>3</v>
      </c>
      <c r="S287">
        <v>4</v>
      </c>
    </row>
    <row r="288" spans="1:19" x14ac:dyDescent="0.25">
      <c r="A288">
        <v>2</v>
      </c>
      <c r="D288">
        <v>5.25</v>
      </c>
      <c r="Q288">
        <v>5</v>
      </c>
      <c r="S288">
        <v>5</v>
      </c>
    </row>
    <row r="289" spans="1:19" x14ac:dyDescent="0.25">
      <c r="A289">
        <v>10.5</v>
      </c>
      <c r="D289">
        <v>5</v>
      </c>
      <c r="Q289">
        <v>5</v>
      </c>
      <c r="S289">
        <v>5</v>
      </c>
    </row>
    <row r="290" spans="1:19" x14ac:dyDescent="0.25">
      <c r="A290">
        <v>0.375</v>
      </c>
      <c r="D290">
        <v>5</v>
      </c>
      <c r="Q290">
        <v>5.25</v>
      </c>
      <c r="S290">
        <v>5</v>
      </c>
    </row>
    <row r="291" spans="1:19" x14ac:dyDescent="0.25">
      <c r="A291">
        <v>4.75</v>
      </c>
      <c r="D291">
        <v>5</v>
      </c>
      <c r="Q291">
        <v>5</v>
      </c>
      <c r="S291">
        <v>4.5</v>
      </c>
    </row>
    <row r="292" spans="1:19" x14ac:dyDescent="0.25">
      <c r="A292">
        <v>0.25</v>
      </c>
      <c r="D292">
        <v>5</v>
      </c>
      <c r="Q292">
        <v>5</v>
      </c>
      <c r="S292">
        <v>6.375</v>
      </c>
    </row>
    <row r="293" spans="1:19" x14ac:dyDescent="0.25">
      <c r="A293">
        <v>3.375</v>
      </c>
      <c r="D293">
        <v>7</v>
      </c>
      <c r="Q293">
        <v>5</v>
      </c>
      <c r="S293">
        <v>5.25</v>
      </c>
    </row>
    <row r="294" spans="1:19" x14ac:dyDescent="0.25">
      <c r="A294">
        <v>4</v>
      </c>
      <c r="D294">
        <v>5</v>
      </c>
      <c r="Q294">
        <v>4</v>
      </c>
      <c r="S294">
        <v>2</v>
      </c>
    </row>
    <row r="295" spans="1:19" x14ac:dyDescent="0.25">
      <c r="A295">
        <v>4.5</v>
      </c>
      <c r="D295">
        <v>3.5</v>
      </c>
      <c r="Q295">
        <v>3</v>
      </c>
      <c r="S295">
        <v>3.75</v>
      </c>
    </row>
    <row r="296" spans="1:19" x14ac:dyDescent="0.25">
      <c r="A296">
        <v>5</v>
      </c>
      <c r="D296">
        <v>3.5</v>
      </c>
      <c r="Q296">
        <v>5</v>
      </c>
      <c r="S296">
        <v>5</v>
      </c>
    </row>
    <row r="297" spans="1:19" x14ac:dyDescent="0.25">
      <c r="A297">
        <v>4.75</v>
      </c>
      <c r="D297">
        <v>5</v>
      </c>
      <c r="Q297">
        <v>5</v>
      </c>
      <c r="S297">
        <v>7.5</v>
      </c>
    </row>
    <row r="298" spans="1:19" x14ac:dyDescent="0.25">
      <c r="A298">
        <v>5</v>
      </c>
      <c r="D298">
        <v>9</v>
      </c>
      <c r="Q298">
        <v>3</v>
      </c>
      <c r="S298">
        <v>6.75</v>
      </c>
    </row>
    <row r="299" spans="1:19" x14ac:dyDescent="0.25">
      <c r="A299">
        <v>10</v>
      </c>
      <c r="D299">
        <v>7.5</v>
      </c>
      <c r="Q299">
        <v>5</v>
      </c>
      <c r="S299">
        <v>0.5</v>
      </c>
    </row>
    <row r="300" spans="1:19" x14ac:dyDescent="0.25">
      <c r="A300">
        <v>1.5</v>
      </c>
      <c r="D300">
        <v>8.75</v>
      </c>
      <c r="Q300">
        <v>6</v>
      </c>
      <c r="S300">
        <v>1.75</v>
      </c>
    </row>
    <row r="301" spans="1:19" x14ac:dyDescent="0.25">
      <c r="A301">
        <v>5</v>
      </c>
      <c r="D301">
        <v>5</v>
      </c>
      <c r="Q301">
        <v>4.25</v>
      </c>
      <c r="S301">
        <v>1.5</v>
      </c>
    </row>
    <row r="302" spans="1:19" x14ac:dyDescent="0.25">
      <c r="A302">
        <v>4.75</v>
      </c>
      <c r="D302">
        <v>10</v>
      </c>
      <c r="Q302">
        <v>5</v>
      </c>
      <c r="S302">
        <v>1.5</v>
      </c>
    </row>
    <row r="303" spans="1:19" x14ac:dyDescent="0.25">
      <c r="A303">
        <v>2.625</v>
      </c>
      <c r="D303">
        <v>10</v>
      </c>
      <c r="Q303">
        <v>5</v>
      </c>
      <c r="S303">
        <v>5</v>
      </c>
    </row>
    <row r="304" spans="1:19" x14ac:dyDescent="0.25">
      <c r="A304">
        <v>11.25</v>
      </c>
      <c r="D304">
        <v>9.75</v>
      </c>
      <c r="Q304">
        <v>5</v>
      </c>
      <c r="S304">
        <v>4</v>
      </c>
    </row>
    <row r="305" spans="1:19" x14ac:dyDescent="0.25">
      <c r="A305">
        <v>5</v>
      </c>
      <c r="D305">
        <v>5.5</v>
      </c>
      <c r="Q305">
        <v>3</v>
      </c>
      <c r="S305">
        <v>5</v>
      </c>
    </row>
    <row r="306" spans="1:19" x14ac:dyDescent="0.25">
      <c r="A306">
        <v>0.375</v>
      </c>
      <c r="D306">
        <v>5</v>
      </c>
      <c r="Q306">
        <v>5</v>
      </c>
      <c r="S306">
        <v>1.25</v>
      </c>
    </row>
    <row r="307" spans="1:19" x14ac:dyDescent="0.25">
      <c r="A307">
        <v>10</v>
      </c>
      <c r="D307">
        <v>5.25</v>
      </c>
      <c r="Q307">
        <v>5</v>
      </c>
      <c r="S307">
        <v>3</v>
      </c>
    </row>
    <row r="308" spans="1:19" x14ac:dyDescent="0.25">
      <c r="A308">
        <v>0.375</v>
      </c>
      <c r="D308">
        <v>5</v>
      </c>
      <c r="Q308">
        <v>5</v>
      </c>
      <c r="S308">
        <v>5</v>
      </c>
    </row>
    <row r="309" spans="1:19" x14ac:dyDescent="0.25">
      <c r="A309">
        <v>5</v>
      </c>
      <c r="D309">
        <v>5</v>
      </c>
      <c r="Q309">
        <v>7.5</v>
      </c>
      <c r="S309">
        <v>1.5</v>
      </c>
    </row>
    <row r="310" spans="1:19" x14ac:dyDescent="0.25">
      <c r="A310">
        <v>1.75</v>
      </c>
      <c r="D310">
        <v>5</v>
      </c>
      <c r="Q310">
        <v>5</v>
      </c>
      <c r="S310">
        <v>5</v>
      </c>
    </row>
    <row r="311" spans="1:19" x14ac:dyDescent="0.25">
      <c r="A311">
        <v>11.25</v>
      </c>
      <c r="D311">
        <v>1</v>
      </c>
      <c r="Q311">
        <v>5</v>
      </c>
      <c r="S311">
        <v>7.5</v>
      </c>
    </row>
    <row r="312" spans="1:19" x14ac:dyDescent="0.25">
      <c r="A312">
        <v>5</v>
      </c>
      <c r="D312">
        <v>5</v>
      </c>
      <c r="Q312">
        <v>5</v>
      </c>
      <c r="S312">
        <v>6.75</v>
      </c>
    </row>
    <row r="313" spans="1:19" x14ac:dyDescent="0.25">
      <c r="A313">
        <v>2.25</v>
      </c>
      <c r="D313">
        <v>5</v>
      </c>
      <c r="Q313">
        <v>3</v>
      </c>
      <c r="S313">
        <v>5.625</v>
      </c>
    </row>
    <row r="314" spans="1:19" x14ac:dyDescent="0.25">
      <c r="A314">
        <v>4</v>
      </c>
      <c r="D314">
        <v>5</v>
      </c>
      <c r="Q314">
        <v>5</v>
      </c>
      <c r="S314">
        <v>5</v>
      </c>
    </row>
    <row r="315" spans="1:19" x14ac:dyDescent="0.25">
      <c r="A315">
        <v>3</v>
      </c>
      <c r="D315">
        <v>5</v>
      </c>
      <c r="Q315">
        <v>3</v>
      </c>
      <c r="S315">
        <v>5</v>
      </c>
    </row>
    <row r="316" spans="1:19" x14ac:dyDescent="0.25">
      <c r="A316">
        <v>0.75</v>
      </c>
      <c r="D316">
        <v>5.25</v>
      </c>
      <c r="Q316">
        <v>5</v>
      </c>
      <c r="S316">
        <v>3</v>
      </c>
    </row>
    <row r="317" spans="1:19" x14ac:dyDescent="0.25">
      <c r="A317">
        <v>5</v>
      </c>
      <c r="D317">
        <v>2.5</v>
      </c>
      <c r="Q317">
        <v>2</v>
      </c>
      <c r="S317">
        <v>7.5</v>
      </c>
    </row>
    <row r="318" spans="1:19" x14ac:dyDescent="0.25">
      <c r="A318">
        <v>5</v>
      </c>
      <c r="D318">
        <v>4.75</v>
      </c>
      <c r="Q318">
        <v>5</v>
      </c>
      <c r="S318">
        <v>5</v>
      </c>
    </row>
    <row r="319" spans="1:19" x14ac:dyDescent="0.25">
      <c r="A319">
        <v>5</v>
      </c>
      <c r="D319">
        <v>5</v>
      </c>
      <c r="Q319">
        <v>3.25</v>
      </c>
      <c r="S319">
        <v>5.25</v>
      </c>
    </row>
    <row r="320" spans="1:19" x14ac:dyDescent="0.25">
      <c r="A320">
        <v>5</v>
      </c>
      <c r="D320">
        <v>7</v>
      </c>
      <c r="Q320">
        <v>4</v>
      </c>
      <c r="S320">
        <v>5</v>
      </c>
    </row>
    <row r="321" spans="1:19" x14ac:dyDescent="0.25">
      <c r="A321">
        <v>7.25</v>
      </c>
      <c r="D321">
        <v>2</v>
      </c>
      <c r="Q321">
        <v>5</v>
      </c>
      <c r="S321">
        <v>5</v>
      </c>
    </row>
    <row r="322" spans="1:19" x14ac:dyDescent="0.25">
      <c r="A322">
        <v>12</v>
      </c>
      <c r="D322">
        <v>4.25</v>
      </c>
      <c r="Q322">
        <v>5</v>
      </c>
      <c r="S322">
        <v>3.5</v>
      </c>
    </row>
    <row r="323" spans="1:19" x14ac:dyDescent="0.25">
      <c r="A323">
        <v>5</v>
      </c>
      <c r="D323">
        <v>1</v>
      </c>
      <c r="Q323">
        <v>3</v>
      </c>
      <c r="S323">
        <v>5</v>
      </c>
    </row>
    <row r="324" spans="1:19" x14ac:dyDescent="0.25">
      <c r="A324">
        <v>5</v>
      </c>
      <c r="D324">
        <v>5</v>
      </c>
      <c r="Q324">
        <v>5.5</v>
      </c>
      <c r="S324">
        <v>5</v>
      </c>
    </row>
    <row r="325" spans="1:19" x14ac:dyDescent="0.25">
      <c r="A325">
        <v>2.625</v>
      </c>
      <c r="D325">
        <v>9</v>
      </c>
      <c r="Q325">
        <v>5</v>
      </c>
      <c r="S325">
        <v>5</v>
      </c>
    </row>
    <row r="326" spans="1:19" x14ac:dyDescent="0.25">
      <c r="A326">
        <v>11.25</v>
      </c>
      <c r="D326">
        <v>4</v>
      </c>
      <c r="Q326">
        <v>5.25</v>
      </c>
      <c r="S326">
        <v>5</v>
      </c>
    </row>
    <row r="327" spans="1:19" x14ac:dyDescent="0.25">
      <c r="A327">
        <v>3.25</v>
      </c>
      <c r="D327">
        <v>2.5</v>
      </c>
      <c r="Q327">
        <v>5</v>
      </c>
      <c r="S327">
        <v>5</v>
      </c>
    </row>
    <row r="328" spans="1:19" x14ac:dyDescent="0.25">
      <c r="A328">
        <v>3</v>
      </c>
      <c r="D328">
        <v>5</v>
      </c>
      <c r="Q328">
        <v>5</v>
      </c>
      <c r="S328">
        <v>3.5</v>
      </c>
    </row>
    <row r="329" spans="1:19" x14ac:dyDescent="0.25">
      <c r="A329">
        <v>5</v>
      </c>
      <c r="D329">
        <v>5</v>
      </c>
      <c r="Q329">
        <v>5</v>
      </c>
      <c r="S329">
        <v>5</v>
      </c>
    </row>
    <row r="330" spans="1:19" x14ac:dyDescent="0.25">
      <c r="A330">
        <v>5.25</v>
      </c>
      <c r="D330">
        <v>5</v>
      </c>
      <c r="Q330">
        <v>3</v>
      </c>
      <c r="S330">
        <v>5</v>
      </c>
    </row>
    <row r="331" spans="1:19" x14ac:dyDescent="0.25">
      <c r="A331">
        <v>5</v>
      </c>
      <c r="D331">
        <v>5</v>
      </c>
      <c r="Q331">
        <v>5</v>
      </c>
      <c r="S331">
        <v>5</v>
      </c>
    </row>
    <row r="332" spans="1:19" x14ac:dyDescent="0.25">
      <c r="A332">
        <v>5</v>
      </c>
      <c r="D332">
        <v>1</v>
      </c>
      <c r="Q332">
        <v>5.5</v>
      </c>
      <c r="S332">
        <v>1.25</v>
      </c>
    </row>
    <row r="333" spans="1:19" x14ac:dyDescent="0.25">
      <c r="A333">
        <v>5</v>
      </c>
      <c r="D333">
        <v>5</v>
      </c>
      <c r="Q333">
        <v>5</v>
      </c>
      <c r="S333">
        <v>5</v>
      </c>
    </row>
    <row r="334" spans="1:19" x14ac:dyDescent="0.25">
      <c r="A334">
        <v>5</v>
      </c>
      <c r="D334">
        <v>9.75</v>
      </c>
      <c r="Q334">
        <v>1</v>
      </c>
      <c r="S334">
        <v>5.75</v>
      </c>
    </row>
    <row r="335" spans="1:19" x14ac:dyDescent="0.25">
      <c r="A335">
        <v>5</v>
      </c>
      <c r="D335">
        <v>4</v>
      </c>
      <c r="Q335">
        <v>5</v>
      </c>
      <c r="S335">
        <v>5.25</v>
      </c>
    </row>
    <row r="336" spans="1:19" x14ac:dyDescent="0.25">
      <c r="A336">
        <v>0.75</v>
      </c>
      <c r="D336">
        <v>1</v>
      </c>
      <c r="Q336">
        <v>5</v>
      </c>
      <c r="S336">
        <v>5</v>
      </c>
    </row>
    <row r="337" spans="1:19" x14ac:dyDescent="0.25">
      <c r="A337">
        <v>7.25</v>
      </c>
      <c r="D337">
        <v>5</v>
      </c>
      <c r="Q337">
        <v>5</v>
      </c>
      <c r="S337">
        <v>5</v>
      </c>
    </row>
    <row r="338" spans="1:19" x14ac:dyDescent="0.25">
      <c r="A338">
        <v>5</v>
      </c>
      <c r="D338">
        <v>5</v>
      </c>
      <c r="Q338">
        <v>5</v>
      </c>
      <c r="S338">
        <v>5.25</v>
      </c>
    </row>
    <row r="339" spans="1:19" x14ac:dyDescent="0.25">
      <c r="A339">
        <v>5</v>
      </c>
      <c r="D339">
        <v>5</v>
      </c>
      <c r="Q339">
        <v>3.75</v>
      </c>
      <c r="S339">
        <v>3</v>
      </c>
    </row>
    <row r="340" spans="1:19" x14ac:dyDescent="0.25">
      <c r="A340">
        <v>2.5</v>
      </c>
      <c r="D340">
        <v>5</v>
      </c>
      <c r="Q340">
        <v>1.5</v>
      </c>
      <c r="S340">
        <v>1.25</v>
      </c>
    </row>
    <row r="341" spans="1:19" x14ac:dyDescent="0.25">
      <c r="A341">
        <v>4</v>
      </c>
      <c r="D341">
        <v>5</v>
      </c>
      <c r="Q341">
        <v>2.5</v>
      </c>
      <c r="S341">
        <v>5</v>
      </c>
    </row>
    <row r="342" spans="1:19" x14ac:dyDescent="0.25">
      <c r="A342">
        <v>5</v>
      </c>
      <c r="D342">
        <v>5</v>
      </c>
      <c r="Q342">
        <v>4.75</v>
      </c>
      <c r="S342">
        <v>5</v>
      </c>
    </row>
    <row r="343" spans="1:19" x14ac:dyDescent="0.25">
      <c r="A343">
        <v>5</v>
      </c>
      <c r="D343">
        <v>5</v>
      </c>
      <c r="Q343">
        <v>4</v>
      </c>
      <c r="S343">
        <v>4</v>
      </c>
    </row>
    <row r="344" spans="1:19" x14ac:dyDescent="0.25">
      <c r="A344">
        <v>7</v>
      </c>
      <c r="D344">
        <v>5</v>
      </c>
      <c r="Q344">
        <v>5</v>
      </c>
      <c r="S344">
        <v>5</v>
      </c>
    </row>
    <row r="345" spans="1:19" x14ac:dyDescent="0.25">
      <c r="A345">
        <v>1</v>
      </c>
      <c r="D345">
        <v>5</v>
      </c>
      <c r="Q345">
        <v>5</v>
      </c>
      <c r="S345">
        <v>5</v>
      </c>
    </row>
    <row r="346" spans="1:19" x14ac:dyDescent="0.25">
      <c r="A346">
        <v>5</v>
      </c>
      <c r="D346">
        <v>5</v>
      </c>
      <c r="Q346">
        <v>5</v>
      </c>
      <c r="S346">
        <v>5</v>
      </c>
    </row>
    <row r="347" spans="1:19" x14ac:dyDescent="0.25">
      <c r="A347">
        <v>5</v>
      </c>
      <c r="D347">
        <v>5</v>
      </c>
      <c r="Q347">
        <v>5</v>
      </c>
      <c r="S347">
        <v>5</v>
      </c>
    </row>
    <row r="348" spans="1:19" x14ac:dyDescent="0.25">
      <c r="A348">
        <v>4</v>
      </c>
      <c r="D348">
        <v>5</v>
      </c>
      <c r="Q348">
        <v>5.25</v>
      </c>
      <c r="S348">
        <v>5.25</v>
      </c>
    </row>
    <row r="349" spans="1:19" x14ac:dyDescent="0.25">
      <c r="A349">
        <v>8</v>
      </c>
      <c r="D349">
        <v>5</v>
      </c>
      <c r="Q349">
        <v>5</v>
      </c>
      <c r="S349">
        <v>3.5</v>
      </c>
    </row>
    <row r="350" spans="1:19" x14ac:dyDescent="0.25">
      <c r="A350">
        <v>3</v>
      </c>
      <c r="D350">
        <v>5</v>
      </c>
      <c r="Q350">
        <v>5</v>
      </c>
      <c r="S350">
        <v>5</v>
      </c>
    </row>
    <row r="351" spans="1:19" x14ac:dyDescent="0.25">
      <c r="A351">
        <v>3.375</v>
      </c>
      <c r="D351">
        <v>8</v>
      </c>
      <c r="Q351">
        <v>5</v>
      </c>
      <c r="S351">
        <v>5</v>
      </c>
    </row>
    <row r="352" spans="1:19" x14ac:dyDescent="0.25">
      <c r="A352">
        <v>4</v>
      </c>
      <c r="D352">
        <v>4.25</v>
      </c>
      <c r="Q352">
        <v>5</v>
      </c>
      <c r="S352">
        <v>0.75</v>
      </c>
    </row>
    <row r="353" spans="1:19" x14ac:dyDescent="0.25">
      <c r="A353">
        <v>0.75</v>
      </c>
      <c r="D353">
        <v>1</v>
      </c>
      <c r="Q353">
        <v>5</v>
      </c>
      <c r="S353">
        <v>5</v>
      </c>
    </row>
    <row r="354" spans="1:19" x14ac:dyDescent="0.25">
      <c r="A354">
        <v>5</v>
      </c>
      <c r="D354">
        <v>9</v>
      </c>
      <c r="Q354">
        <v>5</v>
      </c>
      <c r="S354">
        <v>0.25</v>
      </c>
    </row>
    <row r="355" spans="1:19" x14ac:dyDescent="0.25">
      <c r="A355">
        <v>5</v>
      </c>
      <c r="D355">
        <v>5</v>
      </c>
      <c r="Q355">
        <v>4</v>
      </c>
      <c r="S355">
        <v>5</v>
      </c>
    </row>
    <row r="356" spans="1:19" x14ac:dyDescent="0.25">
      <c r="A356">
        <v>0.75</v>
      </c>
      <c r="D356">
        <v>5</v>
      </c>
      <c r="Q356">
        <v>5</v>
      </c>
      <c r="S356">
        <v>7</v>
      </c>
    </row>
    <row r="357" spans="1:19" x14ac:dyDescent="0.25">
      <c r="A357">
        <v>0.375</v>
      </c>
      <c r="D357">
        <v>6.5</v>
      </c>
      <c r="Q357">
        <v>5</v>
      </c>
      <c r="S357">
        <v>5.25</v>
      </c>
    </row>
    <row r="358" spans="1:19" x14ac:dyDescent="0.25">
      <c r="A358">
        <v>5</v>
      </c>
      <c r="D358">
        <v>5</v>
      </c>
      <c r="Q358">
        <v>5</v>
      </c>
      <c r="S358">
        <v>5</v>
      </c>
    </row>
    <row r="359" spans="1:19" x14ac:dyDescent="0.25">
      <c r="A359">
        <v>4.5</v>
      </c>
      <c r="D359">
        <v>5</v>
      </c>
      <c r="Q359">
        <v>5</v>
      </c>
      <c r="S359">
        <v>5</v>
      </c>
    </row>
    <row r="360" spans="1:19" x14ac:dyDescent="0.25">
      <c r="A360">
        <v>1</v>
      </c>
      <c r="D360">
        <v>5.25</v>
      </c>
      <c r="Q360">
        <v>5</v>
      </c>
      <c r="S360">
        <v>4.5</v>
      </c>
    </row>
    <row r="361" spans="1:19" x14ac:dyDescent="0.25">
      <c r="A361">
        <v>7.5</v>
      </c>
      <c r="D361">
        <v>5</v>
      </c>
      <c r="Q361">
        <v>5</v>
      </c>
      <c r="S361">
        <v>2</v>
      </c>
    </row>
    <row r="362" spans="1:19" x14ac:dyDescent="0.25">
      <c r="A362">
        <v>5</v>
      </c>
      <c r="D362">
        <v>5</v>
      </c>
      <c r="Q362">
        <v>5</v>
      </c>
      <c r="S362">
        <v>2.25</v>
      </c>
    </row>
    <row r="363" spans="1:19" x14ac:dyDescent="0.25">
      <c r="A363">
        <v>3.25</v>
      </c>
      <c r="D363">
        <v>5</v>
      </c>
      <c r="Q363">
        <v>5</v>
      </c>
      <c r="S363">
        <v>5.5</v>
      </c>
    </row>
    <row r="364" spans="1:19" x14ac:dyDescent="0.25">
      <c r="A364">
        <v>0.75</v>
      </c>
      <c r="D364">
        <v>10</v>
      </c>
      <c r="Q364">
        <v>5</v>
      </c>
      <c r="S364">
        <v>2.5</v>
      </c>
    </row>
    <row r="365" spans="1:19" x14ac:dyDescent="0.25">
      <c r="A365">
        <v>5</v>
      </c>
      <c r="D365">
        <v>5.25</v>
      </c>
      <c r="Q365">
        <v>5</v>
      </c>
      <c r="S365">
        <v>7</v>
      </c>
    </row>
    <row r="366" spans="1:19" x14ac:dyDescent="0.25">
      <c r="A366">
        <v>5</v>
      </c>
      <c r="D366">
        <v>5</v>
      </c>
      <c r="Q366">
        <v>5</v>
      </c>
      <c r="S366">
        <v>5</v>
      </c>
    </row>
    <row r="367" spans="1:19" x14ac:dyDescent="0.25">
      <c r="A367">
        <v>2</v>
      </c>
      <c r="D367">
        <v>6</v>
      </c>
      <c r="Q367">
        <v>3</v>
      </c>
      <c r="S367">
        <v>3.75</v>
      </c>
    </row>
    <row r="368" spans="1:19" x14ac:dyDescent="0.25">
      <c r="A368">
        <v>4.5</v>
      </c>
      <c r="D368">
        <v>2.5</v>
      </c>
      <c r="Q368">
        <v>13</v>
      </c>
      <c r="S368">
        <v>5</v>
      </c>
    </row>
    <row r="369" spans="1:19" x14ac:dyDescent="0.25">
      <c r="A369">
        <v>5</v>
      </c>
      <c r="D369">
        <v>5</v>
      </c>
      <c r="Q369">
        <v>1.5</v>
      </c>
      <c r="S369">
        <v>3.75</v>
      </c>
    </row>
    <row r="370" spans="1:19" x14ac:dyDescent="0.25">
      <c r="A370">
        <v>5</v>
      </c>
      <c r="D370">
        <v>2.5</v>
      </c>
      <c r="Q370">
        <v>5</v>
      </c>
      <c r="S370">
        <v>1.5</v>
      </c>
    </row>
    <row r="371" spans="1:19" x14ac:dyDescent="0.25">
      <c r="A371">
        <v>5</v>
      </c>
      <c r="D371">
        <v>2</v>
      </c>
      <c r="Q371">
        <v>5</v>
      </c>
      <c r="S371">
        <v>0.375</v>
      </c>
    </row>
    <row r="372" spans="1:19" x14ac:dyDescent="0.25">
      <c r="A372">
        <v>3.75</v>
      </c>
      <c r="D372">
        <v>2</v>
      </c>
      <c r="Q372">
        <v>5</v>
      </c>
      <c r="S372">
        <v>0.75</v>
      </c>
    </row>
    <row r="373" spans="1:19" x14ac:dyDescent="0.25">
      <c r="A373">
        <v>5</v>
      </c>
      <c r="D373">
        <v>5</v>
      </c>
      <c r="Q373">
        <v>5</v>
      </c>
      <c r="S373">
        <v>5</v>
      </c>
    </row>
    <row r="374" spans="1:19" x14ac:dyDescent="0.25">
      <c r="A374">
        <v>5</v>
      </c>
      <c r="D374">
        <v>5</v>
      </c>
      <c r="Q374">
        <v>3</v>
      </c>
      <c r="S374">
        <v>7.5</v>
      </c>
    </row>
    <row r="375" spans="1:19" x14ac:dyDescent="0.25">
      <c r="A375">
        <v>3</v>
      </c>
      <c r="D375">
        <v>2.5</v>
      </c>
      <c r="Q375">
        <v>3.5</v>
      </c>
      <c r="S375">
        <v>7.5</v>
      </c>
    </row>
    <row r="376" spans="1:19" x14ac:dyDescent="0.25">
      <c r="A376">
        <v>4</v>
      </c>
      <c r="D376">
        <v>5</v>
      </c>
      <c r="Q376">
        <v>4</v>
      </c>
      <c r="S376">
        <v>1.5</v>
      </c>
    </row>
    <row r="377" spans="1:19" x14ac:dyDescent="0.25">
      <c r="A377">
        <v>5</v>
      </c>
      <c r="D377">
        <v>5</v>
      </c>
      <c r="Q377">
        <v>5</v>
      </c>
      <c r="S377">
        <v>7.5</v>
      </c>
    </row>
    <row r="378" spans="1:19" x14ac:dyDescent="0.25">
      <c r="A378">
        <v>4</v>
      </c>
      <c r="D378">
        <v>5</v>
      </c>
      <c r="Q378">
        <v>4</v>
      </c>
      <c r="S378">
        <v>7.5</v>
      </c>
    </row>
    <row r="379" spans="1:19" x14ac:dyDescent="0.25">
      <c r="A379">
        <v>5</v>
      </c>
      <c r="D379">
        <v>4.25</v>
      </c>
      <c r="Q379">
        <v>5</v>
      </c>
      <c r="S379">
        <v>7.125</v>
      </c>
    </row>
    <row r="380" spans="1:19" x14ac:dyDescent="0.25">
      <c r="A380">
        <v>3.5</v>
      </c>
      <c r="D380">
        <v>5</v>
      </c>
      <c r="Q380">
        <v>4.25</v>
      </c>
      <c r="S380">
        <v>7.5</v>
      </c>
    </row>
    <row r="381" spans="1:19" x14ac:dyDescent="0.25">
      <c r="A381">
        <v>9</v>
      </c>
      <c r="D381">
        <v>5</v>
      </c>
      <c r="Q381">
        <v>8</v>
      </c>
      <c r="S381">
        <v>0.25</v>
      </c>
    </row>
    <row r="382" spans="1:19" x14ac:dyDescent="0.25">
      <c r="A382">
        <v>1.75</v>
      </c>
      <c r="D382">
        <v>3.25</v>
      </c>
      <c r="Q382">
        <v>5</v>
      </c>
      <c r="S382">
        <v>7.5</v>
      </c>
    </row>
    <row r="383" spans="1:19" x14ac:dyDescent="0.25">
      <c r="A383">
        <v>4.25</v>
      </c>
      <c r="D383">
        <v>5</v>
      </c>
      <c r="Q383">
        <v>5.25</v>
      </c>
      <c r="S383">
        <v>12</v>
      </c>
    </row>
    <row r="384" spans="1:19" x14ac:dyDescent="0.25">
      <c r="A384">
        <v>5.5</v>
      </c>
      <c r="D384">
        <v>5</v>
      </c>
      <c r="Q384">
        <v>7.5</v>
      </c>
      <c r="S384">
        <v>5.625</v>
      </c>
    </row>
    <row r="385" spans="1:19" x14ac:dyDescent="0.25">
      <c r="A385">
        <v>5</v>
      </c>
      <c r="D385">
        <v>5</v>
      </c>
      <c r="Q385">
        <v>5</v>
      </c>
      <c r="S385">
        <v>0.75</v>
      </c>
    </row>
    <row r="386" spans="1:19" x14ac:dyDescent="0.25">
      <c r="A386">
        <v>5</v>
      </c>
      <c r="D386">
        <v>5</v>
      </c>
      <c r="Q386">
        <v>6.25</v>
      </c>
      <c r="S386">
        <v>11.25</v>
      </c>
    </row>
    <row r="387" spans="1:19" x14ac:dyDescent="0.25">
      <c r="A387">
        <v>1.5</v>
      </c>
      <c r="D387">
        <v>2.25</v>
      </c>
      <c r="Q387">
        <v>5</v>
      </c>
      <c r="S387">
        <v>6</v>
      </c>
    </row>
    <row r="388" spans="1:19" x14ac:dyDescent="0.25">
      <c r="A388">
        <v>2.75</v>
      </c>
      <c r="D388">
        <v>5</v>
      </c>
      <c r="Q388">
        <v>5</v>
      </c>
      <c r="S388">
        <v>8.25</v>
      </c>
    </row>
    <row r="389" spans="1:19" x14ac:dyDescent="0.25">
      <c r="A389">
        <v>4.5</v>
      </c>
      <c r="D389">
        <v>5</v>
      </c>
      <c r="Q389">
        <v>5.25</v>
      </c>
      <c r="S389">
        <v>8.25</v>
      </c>
    </row>
    <row r="390" spans="1:19" x14ac:dyDescent="0.25">
      <c r="A390">
        <v>5</v>
      </c>
      <c r="D390">
        <v>6.25</v>
      </c>
      <c r="Q390">
        <v>4</v>
      </c>
      <c r="S390">
        <v>5</v>
      </c>
    </row>
    <row r="391" spans="1:19" x14ac:dyDescent="0.25">
      <c r="A391">
        <v>3</v>
      </c>
      <c r="D391">
        <v>5</v>
      </c>
      <c r="Q391">
        <v>4</v>
      </c>
      <c r="S391">
        <v>5</v>
      </c>
    </row>
    <row r="392" spans="1:19" x14ac:dyDescent="0.25">
      <c r="A392">
        <v>5</v>
      </c>
      <c r="D392">
        <v>5</v>
      </c>
      <c r="Q392">
        <v>3</v>
      </c>
      <c r="S392">
        <v>2.5</v>
      </c>
    </row>
    <row r="393" spans="1:19" x14ac:dyDescent="0.25">
      <c r="A393">
        <v>3</v>
      </c>
      <c r="D393">
        <v>5</v>
      </c>
      <c r="Q393">
        <v>5</v>
      </c>
      <c r="S393">
        <v>5</v>
      </c>
    </row>
    <row r="394" spans="1:19" x14ac:dyDescent="0.25">
      <c r="A394">
        <v>5</v>
      </c>
      <c r="D394">
        <v>5</v>
      </c>
      <c r="Q394">
        <v>5</v>
      </c>
      <c r="S394">
        <v>5</v>
      </c>
    </row>
    <row r="395" spans="1:19" x14ac:dyDescent="0.25">
      <c r="A395">
        <v>2.25</v>
      </c>
      <c r="D395">
        <v>5</v>
      </c>
      <c r="Q395">
        <v>5.25</v>
      </c>
      <c r="S395">
        <v>4</v>
      </c>
    </row>
    <row r="396" spans="1:19" x14ac:dyDescent="0.25">
      <c r="A396">
        <v>5</v>
      </c>
      <c r="D396">
        <v>5</v>
      </c>
      <c r="Q396">
        <v>3</v>
      </c>
      <c r="S396">
        <v>5</v>
      </c>
    </row>
    <row r="397" spans="1:19" x14ac:dyDescent="0.25">
      <c r="A397">
        <v>3</v>
      </c>
      <c r="D397">
        <v>5</v>
      </c>
      <c r="Q397">
        <v>5</v>
      </c>
      <c r="S397">
        <v>5</v>
      </c>
    </row>
    <row r="398" spans="1:19" x14ac:dyDescent="0.25">
      <c r="A398">
        <v>5</v>
      </c>
      <c r="D398">
        <v>4</v>
      </c>
      <c r="Q398">
        <v>5</v>
      </c>
      <c r="S398">
        <v>5</v>
      </c>
    </row>
    <row r="399" spans="1:19" x14ac:dyDescent="0.25">
      <c r="A399">
        <v>3</v>
      </c>
      <c r="D399">
        <v>5</v>
      </c>
      <c r="Q399">
        <v>5</v>
      </c>
      <c r="S399">
        <v>6.5</v>
      </c>
    </row>
    <row r="400" spans="1:19" x14ac:dyDescent="0.25">
      <c r="A400">
        <v>9</v>
      </c>
      <c r="D400">
        <v>5</v>
      </c>
      <c r="Q400">
        <v>9</v>
      </c>
      <c r="S400">
        <v>5</v>
      </c>
    </row>
    <row r="401" spans="1:19" x14ac:dyDescent="0.25">
      <c r="A401">
        <v>1</v>
      </c>
      <c r="D401">
        <v>5</v>
      </c>
      <c r="Q401">
        <v>5</v>
      </c>
      <c r="S401">
        <v>3.75</v>
      </c>
    </row>
    <row r="402" spans="1:19" x14ac:dyDescent="0.25">
      <c r="A402">
        <v>4.5</v>
      </c>
      <c r="D402">
        <v>5</v>
      </c>
      <c r="Q402">
        <v>3</v>
      </c>
      <c r="S402">
        <v>5</v>
      </c>
    </row>
    <row r="403" spans="1:19" x14ac:dyDescent="0.25">
      <c r="A403">
        <v>3.75</v>
      </c>
      <c r="D403">
        <v>5</v>
      </c>
      <c r="Q403">
        <v>5.25</v>
      </c>
      <c r="S403">
        <v>5</v>
      </c>
    </row>
    <row r="404" spans="1:19" x14ac:dyDescent="0.25">
      <c r="A404">
        <v>5</v>
      </c>
      <c r="D404">
        <v>1.75</v>
      </c>
      <c r="Q404">
        <v>3</v>
      </c>
      <c r="S404">
        <v>5</v>
      </c>
    </row>
    <row r="405" spans="1:19" x14ac:dyDescent="0.25">
      <c r="A405">
        <v>2.5</v>
      </c>
      <c r="D405">
        <v>5</v>
      </c>
      <c r="Q405">
        <v>5</v>
      </c>
      <c r="S405">
        <v>5.75</v>
      </c>
    </row>
    <row r="406" spans="1:19" x14ac:dyDescent="0.25">
      <c r="A406">
        <v>1.875</v>
      </c>
      <c r="D406">
        <v>7</v>
      </c>
      <c r="Q406">
        <v>5</v>
      </c>
      <c r="S406">
        <v>5</v>
      </c>
    </row>
    <row r="407" spans="1:19" x14ac:dyDescent="0.25">
      <c r="A407">
        <v>5</v>
      </c>
      <c r="D407">
        <v>10.5</v>
      </c>
      <c r="Q407">
        <v>4</v>
      </c>
      <c r="S407">
        <v>5</v>
      </c>
    </row>
    <row r="408" spans="1:19" x14ac:dyDescent="0.25">
      <c r="A408">
        <v>5</v>
      </c>
      <c r="D408">
        <v>5</v>
      </c>
      <c r="Q408">
        <v>5</v>
      </c>
      <c r="S408">
        <v>5</v>
      </c>
    </row>
    <row r="409" spans="1:19" x14ac:dyDescent="0.25">
      <c r="A409">
        <v>3.375</v>
      </c>
      <c r="D409">
        <v>5</v>
      </c>
      <c r="Q409">
        <v>6.5</v>
      </c>
      <c r="S409">
        <v>3.75</v>
      </c>
    </row>
    <row r="410" spans="1:19" x14ac:dyDescent="0.25">
      <c r="A410">
        <v>5</v>
      </c>
      <c r="D410">
        <v>5</v>
      </c>
      <c r="Q410">
        <v>4.25</v>
      </c>
      <c r="S410">
        <v>2.25</v>
      </c>
    </row>
    <row r="411" spans="1:19" x14ac:dyDescent="0.25">
      <c r="A411">
        <v>5</v>
      </c>
      <c r="D411">
        <v>5</v>
      </c>
      <c r="Q411">
        <v>5</v>
      </c>
      <c r="S411">
        <v>2.25</v>
      </c>
    </row>
    <row r="412" spans="1:19" x14ac:dyDescent="0.25">
      <c r="A412">
        <v>3</v>
      </c>
      <c r="D412">
        <v>5</v>
      </c>
      <c r="Q412">
        <v>5</v>
      </c>
      <c r="S412">
        <v>7.25</v>
      </c>
    </row>
    <row r="413" spans="1:19" x14ac:dyDescent="0.25">
      <c r="A413">
        <v>5</v>
      </c>
      <c r="D413">
        <v>10</v>
      </c>
      <c r="Q413">
        <v>1.5</v>
      </c>
      <c r="S413">
        <v>5</v>
      </c>
    </row>
    <row r="414" spans="1:19" x14ac:dyDescent="0.25">
      <c r="A414">
        <v>5</v>
      </c>
      <c r="D414">
        <v>5</v>
      </c>
      <c r="Q414">
        <v>4.5</v>
      </c>
      <c r="S414">
        <v>5.5</v>
      </c>
    </row>
    <row r="415" spans="1:19" x14ac:dyDescent="0.25">
      <c r="A415">
        <v>10</v>
      </c>
      <c r="D415">
        <v>4.5</v>
      </c>
      <c r="Q415">
        <v>3.5</v>
      </c>
      <c r="S415">
        <v>1.25</v>
      </c>
    </row>
    <row r="416" spans="1:19" x14ac:dyDescent="0.25">
      <c r="A416">
        <v>5</v>
      </c>
      <c r="D416">
        <v>4.75</v>
      </c>
      <c r="Q416">
        <v>5</v>
      </c>
      <c r="S416">
        <v>5</v>
      </c>
    </row>
    <row r="417" spans="1:19" x14ac:dyDescent="0.25">
      <c r="A417">
        <v>5</v>
      </c>
      <c r="D417">
        <v>0.25</v>
      </c>
      <c r="Q417">
        <v>2.5</v>
      </c>
      <c r="S417">
        <v>7</v>
      </c>
    </row>
    <row r="418" spans="1:19" x14ac:dyDescent="0.25">
      <c r="A418">
        <v>4.5</v>
      </c>
      <c r="D418">
        <v>1.5</v>
      </c>
      <c r="Q418">
        <v>7.75</v>
      </c>
      <c r="S418">
        <v>5</v>
      </c>
    </row>
    <row r="419" spans="1:19" x14ac:dyDescent="0.25">
      <c r="A419">
        <v>1.5</v>
      </c>
      <c r="D419">
        <v>5</v>
      </c>
      <c r="Q419">
        <v>5</v>
      </c>
      <c r="S419">
        <v>1.25</v>
      </c>
    </row>
    <row r="420" spans="1:19" x14ac:dyDescent="0.25">
      <c r="A420">
        <v>4.5</v>
      </c>
      <c r="D420">
        <v>6.25</v>
      </c>
      <c r="Q420">
        <v>5</v>
      </c>
      <c r="S420">
        <v>6.25</v>
      </c>
    </row>
    <row r="421" spans="1:19" x14ac:dyDescent="0.25">
      <c r="A421">
        <v>4.75</v>
      </c>
      <c r="D421">
        <v>5</v>
      </c>
      <c r="Q421">
        <v>5</v>
      </c>
      <c r="S421">
        <v>2.25</v>
      </c>
    </row>
    <row r="422" spans="1:19" x14ac:dyDescent="0.25">
      <c r="A422">
        <v>0.25</v>
      </c>
      <c r="D422">
        <v>7.5</v>
      </c>
      <c r="Q422">
        <v>8</v>
      </c>
      <c r="S422">
        <v>5</v>
      </c>
    </row>
    <row r="423" spans="1:19" x14ac:dyDescent="0.25">
      <c r="A423">
        <v>1.5</v>
      </c>
      <c r="D423">
        <v>3.375</v>
      </c>
      <c r="Q423">
        <v>9.5</v>
      </c>
      <c r="S423">
        <v>3</v>
      </c>
    </row>
    <row r="424" spans="1:19" x14ac:dyDescent="0.25">
      <c r="A424">
        <v>5</v>
      </c>
      <c r="D424">
        <v>4.5</v>
      </c>
      <c r="Q424">
        <v>5.5</v>
      </c>
      <c r="S424">
        <v>4.5</v>
      </c>
    </row>
    <row r="425" spans="1:19" x14ac:dyDescent="0.25">
      <c r="A425">
        <v>6.25</v>
      </c>
      <c r="D425">
        <v>7.5</v>
      </c>
      <c r="Q425">
        <v>5</v>
      </c>
      <c r="S425">
        <v>5</v>
      </c>
    </row>
    <row r="426" spans="1:19" x14ac:dyDescent="0.25">
      <c r="A426">
        <v>5</v>
      </c>
      <c r="D426">
        <v>6.375</v>
      </c>
      <c r="Q426">
        <v>4.75</v>
      </c>
      <c r="S426">
        <v>5.75</v>
      </c>
    </row>
    <row r="427" spans="1:19" x14ac:dyDescent="0.25">
      <c r="A427">
        <v>1.125</v>
      </c>
      <c r="D427">
        <v>7.875</v>
      </c>
      <c r="Q427">
        <v>3.25</v>
      </c>
      <c r="S427">
        <v>0.375</v>
      </c>
    </row>
    <row r="428" spans="1:19" x14ac:dyDescent="0.25">
      <c r="A428">
        <v>5</v>
      </c>
      <c r="D428">
        <v>14.25</v>
      </c>
      <c r="Q428">
        <v>5</v>
      </c>
      <c r="S428">
        <v>7.75</v>
      </c>
    </row>
    <row r="429" spans="1:19" x14ac:dyDescent="0.25">
      <c r="A429">
        <v>7.5</v>
      </c>
      <c r="D429">
        <v>7.5</v>
      </c>
      <c r="Q429">
        <v>2.5</v>
      </c>
      <c r="S429">
        <v>5</v>
      </c>
    </row>
    <row r="430" spans="1:19" x14ac:dyDescent="0.25">
      <c r="A430">
        <v>3.375</v>
      </c>
      <c r="D430">
        <v>7.125</v>
      </c>
      <c r="Q430">
        <v>4</v>
      </c>
      <c r="S430">
        <v>5</v>
      </c>
    </row>
    <row r="431" spans="1:19" x14ac:dyDescent="0.25">
      <c r="A431">
        <v>4.5</v>
      </c>
      <c r="D431">
        <v>5</v>
      </c>
      <c r="Q431">
        <v>5</v>
      </c>
      <c r="S431">
        <v>5</v>
      </c>
    </row>
    <row r="432" spans="1:19" x14ac:dyDescent="0.25">
      <c r="A432">
        <v>7.5</v>
      </c>
      <c r="D432">
        <v>3.75</v>
      </c>
      <c r="Q432">
        <v>5</v>
      </c>
      <c r="S432">
        <v>1</v>
      </c>
    </row>
    <row r="433" spans="1:19" x14ac:dyDescent="0.25">
      <c r="A433">
        <v>3.5</v>
      </c>
      <c r="D433">
        <v>0.75</v>
      </c>
      <c r="Q433">
        <v>5</v>
      </c>
      <c r="S433">
        <v>5</v>
      </c>
    </row>
    <row r="434" spans="1:19" x14ac:dyDescent="0.25">
      <c r="A434">
        <v>6.375</v>
      </c>
      <c r="D434">
        <v>1</v>
      </c>
      <c r="Q434">
        <v>5</v>
      </c>
      <c r="S434">
        <v>5</v>
      </c>
    </row>
    <row r="435" spans="1:19" x14ac:dyDescent="0.25">
      <c r="A435">
        <v>7.875</v>
      </c>
      <c r="D435">
        <v>5</v>
      </c>
      <c r="Q435">
        <v>5</v>
      </c>
      <c r="S435">
        <v>5</v>
      </c>
    </row>
    <row r="436" spans="1:19" x14ac:dyDescent="0.25">
      <c r="A436">
        <v>3</v>
      </c>
      <c r="D436">
        <v>4.5</v>
      </c>
      <c r="Q436">
        <v>6</v>
      </c>
      <c r="S436">
        <v>4</v>
      </c>
    </row>
    <row r="437" spans="1:19" x14ac:dyDescent="0.25">
      <c r="A437">
        <v>14.25</v>
      </c>
      <c r="D437">
        <v>3.5</v>
      </c>
      <c r="Q437">
        <v>5</v>
      </c>
      <c r="S437">
        <v>3</v>
      </c>
    </row>
    <row r="438" spans="1:19" x14ac:dyDescent="0.25">
      <c r="A438">
        <v>3</v>
      </c>
      <c r="D438">
        <v>4</v>
      </c>
      <c r="Q438">
        <v>5</v>
      </c>
      <c r="S438">
        <v>5</v>
      </c>
    </row>
    <row r="439" spans="1:19" x14ac:dyDescent="0.25">
      <c r="A439">
        <v>4</v>
      </c>
      <c r="D439">
        <v>5</v>
      </c>
      <c r="Q439">
        <v>5</v>
      </c>
      <c r="S439">
        <v>3</v>
      </c>
    </row>
    <row r="440" spans="1:19" x14ac:dyDescent="0.25">
      <c r="A440">
        <v>0.5</v>
      </c>
      <c r="D440">
        <v>9</v>
      </c>
      <c r="Q440">
        <v>3</v>
      </c>
      <c r="S440">
        <v>3.5</v>
      </c>
    </row>
    <row r="441" spans="1:19" x14ac:dyDescent="0.25">
      <c r="A441">
        <v>7.5</v>
      </c>
      <c r="D441">
        <v>1.125</v>
      </c>
      <c r="Q441">
        <v>5</v>
      </c>
      <c r="S441">
        <v>5</v>
      </c>
    </row>
    <row r="442" spans="1:19" x14ac:dyDescent="0.25">
      <c r="A442">
        <v>7.125</v>
      </c>
      <c r="D442">
        <v>3.5</v>
      </c>
      <c r="Q442">
        <v>5</v>
      </c>
      <c r="S442">
        <v>5</v>
      </c>
    </row>
    <row r="443" spans="1:19" x14ac:dyDescent="0.25">
      <c r="A443">
        <v>5</v>
      </c>
      <c r="D443">
        <v>4.25</v>
      </c>
      <c r="Q443">
        <v>5</v>
      </c>
      <c r="S443">
        <v>4</v>
      </c>
    </row>
    <row r="444" spans="1:19" x14ac:dyDescent="0.25">
      <c r="A444">
        <v>3.75</v>
      </c>
      <c r="D444">
        <v>1</v>
      </c>
      <c r="Q444">
        <v>5.25</v>
      </c>
      <c r="S444">
        <v>5</v>
      </c>
    </row>
    <row r="445" spans="1:19" x14ac:dyDescent="0.25">
      <c r="A445">
        <v>5</v>
      </c>
      <c r="D445">
        <v>7.5</v>
      </c>
      <c r="Q445">
        <v>3.25</v>
      </c>
      <c r="S445">
        <v>4.75</v>
      </c>
    </row>
    <row r="446" spans="1:19" x14ac:dyDescent="0.25">
      <c r="A446">
        <v>0.75</v>
      </c>
      <c r="D446">
        <v>7.5</v>
      </c>
      <c r="Q446">
        <v>2</v>
      </c>
      <c r="S446">
        <v>1.25</v>
      </c>
    </row>
    <row r="447" spans="1:19" x14ac:dyDescent="0.25">
      <c r="A447">
        <v>1</v>
      </c>
      <c r="D447">
        <v>0.75</v>
      </c>
      <c r="Q447">
        <v>5</v>
      </c>
      <c r="S447">
        <v>5</v>
      </c>
    </row>
    <row r="448" spans="1:19" x14ac:dyDescent="0.25">
      <c r="A448">
        <v>0.375</v>
      </c>
      <c r="D448">
        <v>0.75</v>
      </c>
      <c r="Q448">
        <v>1.25</v>
      </c>
      <c r="S448">
        <v>3.25</v>
      </c>
    </row>
    <row r="449" spans="1:19" x14ac:dyDescent="0.25">
      <c r="A449">
        <v>5</v>
      </c>
      <c r="D449">
        <v>4</v>
      </c>
      <c r="Q449">
        <v>5</v>
      </c>
      <c r="S449">
        <v>1.25</v>
      </c>
    </row>
    <row r="450" spans="1:19" x14ac:dyDescent="0.25">
      <c r="A450">
        <v>5</v>
      </c>
      <c r="D450">
        <v>5.25</v>
      </c>
      <c r="Q450">
        <v>1</v>
      </c>
      <c r="S450">
        <v>2.5</v>
      </c>
    </row>
    <row r="451" spans="1:19" x14ac:dyDescent="0.25">
      <c r="A451">
        <v>4.5</v>
      </c>
      <c r="D451">
        <v>3</v>
      </c>
      <c r="Q451">
        <v>5</v>
      </c>
      <c r="S451">
        <v>5.75</v>
      </c>
    </row>
    <row r="452" spans="1:19" x14ac:dyDescent="0.25">
      <c r="A452">
        <v>3.5</v>
      </c>
      <c r="D452">
        <v>7.5</v>
      </c>
      <c r="Q452">
        <v>5</v>
      </c>
      <c r="S452">
        <v>3.75</v>
      </c>
    </row>
    <row r="453" spans="1:19" x14ac:dyDescent="0.25">
      <c r="A453">
        <v>4</v>
      </c>
      <c r="D453">
        <v>6.75</v>
      </c>
      <c r="Q453">
        <v>5</v>
      </c>
      <c r="S453">
        <v>5</v>
      </c>
    </row>
    <row r="454" spans="1:19" x14ac:dyDescent="0.25">
      <c r="A454">
        <v>2.5</v>
      </c>
      <c r="D454">
        <v>7.5</v>
      </c>
      <c r="Q454">
        <v>5</v>
      </c>
      <c r="S454">
        <v>5</v>
      </c>
    </row>
    <row r="455" spans="1:19" x14ac:dyDescent="0.25">
      <c r="A455">
        <v>5</v>
      </c>
      <c r="D455">
        <v>7.5</v>
      </c>
      <c r="Q455">
        <v>5</v>
      </c>
      <c r="S455">
        <v>5</v>
      </c>
    </row>
    <row r="456" spans="1:19" x14ac:dyDescent="0.25">
      <c r="A456">
        <v>9</v>
      </c>
      <c r="D456">
        <v>7.875</v>
      </c>
      <c r="Q456">
        <v>5</v>
      </c>
      <c r="S456">
        <v>5</v>
      </c>
    </row>
    <row r="457" spans="1:19" x14ac:dyDescent="0.25">
      <c r="A457">
        <v>1.125</v>
      </c>
      <c r="D457">
        <v>7.5</v>
      </c>
      <c r="Q457">
        <v>5</v>
      </c>
      <c r="S457">
        <v>1.5</v>
      </c>
    </row>
    <row r="458" spans="1:19" x14ac:dyDescent="0.25">
      <c r="A458">
        <v>3.5</v>
      </c>
      <c r="D458">
        <v>4</v>
      </c>
      <c r="Q458">
        <v>3</v>
      </c>
      <c r="S458">
        <v>5</v>
      </c>
    </row>
    <row r="459" spans="1:19" x14ac:dyDescent="0.25">
      <c r="A459">
        <v>4.25</v>
      </c>
      <c r="D459">
        <v>7.5</v>
      </c>
      <c r="Q459">
        <v>5</v>
      </c>
      <c r="S459">
        <v>5</v>
      </c>
    </row>
    <row r="460" spans="1:19" x14ac:dyDescent="0.25">
      <c r="A460">
        <v>1</v>
      </c>
      <c r="D460">
        <v>0.75</v>
      </c>
      <c r="Q460">
        <v>5.25</v>
      </c>
      <c r="S460">
        <v>0.75</v>
      </c>
    </row>
    <row r="461" spans="1:19" x14ac:dyDescent="0.25">
      <c r="A461">
        <v>5</v>
      </c>
      <c r="D461">
        <v>2</v>
      </c>
      <c r="Q461">
        <v>5</v>
      </c>
      <c r="S461">
        <v>5</v>
      </c>
    </row>
    <row r="462" spans="1:19" x14ac:dyDescent="0.25">
      <c r="A462">
        <v>4.25</v>
      </c>
      <c r="D462">
        <v>1.875</v>
      </c>
      <c r="Q462">
        <v>5</v>
      </c>
      <c r="S462">
        <v>6.75</v>
      </c>
    </row>
    <row r="463" spans="1:19" x14ac:dyDescent="0.25">
      <c r="A463">
        <v>4</v>
      </c>
      <c r="D463">
        <v>5</v>
      </c>
      <c r="Q463">
        <v>5</v>
      </c>
      <c r="S463">
        <v>0.25</v>
      </c>
    </row>
    <row r="464" spans="1:19" x14ac:dyDescent="0.25">
      <c r="A464">
        <v>7.5</v>
      </c>
      <c r="D464">
        <v>4.875</v>
      </c>
      <c r="Q464">
        <v>7.25</v>
      </c>
      <c r="S464">
        <v>5</v>
      </c>
    </row>
    <row r="465" spans="1:19" x14ac:dyDescent="0.25">
      <c r="A465">
        <v>7.5</v>
      </c>
      <c r="D465">
        <v>5</v>
      </c>
      <c r="Q465">
        <v>5</v>
      </c>
      <c r="S465">
        <v>2.25</v>
      </c>
    </row>
    <row r="466" spans="1:19" x14ac:dyDescent="0.25">
      <c r="A466">
        <v>0.75</v>
      </c>
      <c r="D466">
        <v>7</v>
      </c>
      <c r="Q466">
        <v>5</v>
      </c>
      <c r="S466">
        <v>5</v>
      </c>
    </row>
    <row r="467" spans="1:19" x14ac:dyDescent="0.25">
      <c r="A467">
        <v>0.75</v>
      </c>
      <c r="D467">
        <v>5</v>
      </c>
      <c r="Q467">
        <v>7</v>
      </c>
      <c r="S467">
        <v>1.25</v>
      </c>
    </row>
    <row r="468" spans="1:19" x14ac:dyDescent="0.25">
      <c r="A468">
        <v>4</v>
      </c>
      <c r="D468">
        <v>5.25</v>
      </c>
      <c r="Q468">
        <v>5</v>
      </c>
      <c r="S468">
        <v>3</v>
      </c>
    </row>
    <row r="469" spans="1:19" x14ac:dyDescent="0.25">
      <c r="A469">
        <v>5.25</v>
      </c>
      <c r="D469">
        <v>1.5</v>
      </c>
      <c r="Q469">
        <v>5</v>
      </c>
      <c r="S469">
        <v>1</v>
      </c>
    </row>
    <row r="470" spans="1:19" x14ac:dyDescent="0.25">
      <c r="A470">
        <v>3</v>
      </c>
      <c r="D470">
        <v>4.5</v>
      </c>
      <c r="Q470">
        <v>3</v>
      </c>
      <c r="S470">
        <v>3.75</v>
      </c>
    </row>
    <row r="471" spans="1:19" x14ac:dyDescent="0.25">
      <c r="A471">
        <v>5</v>
      </c>
      <c r="D471">
        <v>0.75</v>
      </c>
      <c r="Q471">
        <v>3.375</v>
      </c>
      <c r="S471">
        <v>4.125</v>
      </c>
    </row>
    <row r="472" spans="1:19" x14ac:dyDescent="0.25">
      <c r="A472">
        <v>7.5</v>
      </c>
      <c r="D472">
        <v>7.5</v>
      </c>
      <c r="Q472">
        <v>5</v>
      </c>
      <c r="S472">
        <v>4.125</v>
      </c>
    </row>
    <row r="473" spans="1:19" x14ac:dyDescent="0.25">
      <c r="A473">
        <v>2.5</v>
      </c>
      <c r="D473">
        <v>8.25</v>
      </c>
      <c r="Q473">
        <v>5</v>
      </c>
      <c r="S473">
        <v>7.5</v>
      </c>
    </row>
    <row r="474" spans="1:19" x14ac:dyDescent="0.25">
      <c r="A474">
        <v>6.75</v>
      </c>
      <c r="D474">
        <v>0.75</v>
      </c>
      <c r="Q474">
        <v>0.75</v>
      </c>
      <c r="S474">
        <v>7.5</v>
      </c>
    </row>
    <row r="475" spans="1:19" x14ac:dyDescent="0.25">
      <c r="A475">
        <v>7.5</v>
      </c>
      <c r="D475">
        <v>7.5</v>
      </c>
      <c r="Q475">
        <v>0.375</v>
      </c>
      <c r="S475">
        <v>1.5</v>
      </c>
    </row>
    <row r="476" spans="1:19" x14ac:dyDescent="0.25">
      <c r="A476">
        <v>7.5</v>
      </c>
      <c r="D476">
        <v>7.5</v>
      </c>
      <c r="Q476">
        <v>5</v>
      </c>
      <c r="S476">
        <v>7.5</v>
      </c>
    </row>
    <row r="477" spans="1:19" x14ac:dyDescent="0.25">
      <c r="A477">
        <v>7.875</v>
      </c>
      <c r="D477">
        <v>4</v>
      </c>
      <c r="Q477">
        <v>4.5</v>
      </c>
      <c r="S477">
        <v>4.25</v>
      </c>
    </row>
    <row r="478" spans="1:19" x14ac:dyDescent="0.25">
      <c r="A478">
        <v>7.5</v>
      </c>
      <c r="D478">
        <v>3.375</v>
      </c>
      <c r="Q478">
        <v>1</v>
      </c>
      <c r="S478">
        <v>10.5</v>
      </c>
    </row>
    <row r="479" spans="1:19" x14ac:dyDescent="0.25">
      <c r="A479">
        <v>4</v>
      </c>
      <c r="D479">
        <v>11.25</v>
      </c>
      <c r="Q479">
        <v>7.5</v>
      </c>
      <c r="S479">
        <v>7.5</v>
      </c>
    </row>
    <row r="480" spans="1:19" x14ac:dyDescent="0.25">
      <c r="A480">
        <v>7.5</v>
      </c>
      <c r="D480">
        <v>15.75</v>
      </c>
      <c r="Q480">
        <v>5</v>
      </c>
      <c r="S480">
        <v>5</v>
      </c>
    </row>
    <row r="481" spans="1:19" x14ac:dyDescent="0.25">
      <c r="A481">
        <v>0.75</v>
      </c>
      <c r="D481">
        <v>7.5</v>
      </c>
      <c r="Q481">
        <v>3.25</v>
      </c>
      <c r="S481">
        <v>5</v>
      </c>
    </row>
    <row r="482" spans="1:19" x14ac:dyDescent="0.25">
      <c r="A482">
        <v>2</v>
      </c>
      <c r="D482">
        <v>12</v>
      </c>
      <c r="Q482">
        <v>0.75</v>
      </c>
      <c r="S482">
        <v>6.75</v>
      </c>
    </row>
    <row r="483" spans="1:19" x14ac:dyDescent="0.25">
      <c r="A483">
        <v>1.875</v>
      </c>
      <c r="D483">
        <v>7.125</v>
      </c>
      <c r="Q483">
        <v>5</v>
      </c>
      <c r="S483">
        <v>5</v>
      </c>
    </row>
    <row r="484" spans="1:19" x14ac:dyDescent="0.25">
      <c r="A484">
        <v>5</v>
      </c>
      <c r="D484">
        <v>0.75</v>
      </c>
      <c r="Q484">
        <v>5</v>
      </c>
      <c r="S484">
        <v>5</v>
      </c>
    </row>
    <row r="485" spans="1:19" x14ac:dyDescent="0.25">
      <c r="A485">
        <v>4.875</v>
      </c>
      <c r="D485">
        <v>6</v>
      </c>
      <c r="Q485">
        <v>2</v>
      </c>
      <c r="S485">
        <v>2.25</v>
      </c>
    </row>
    <row r="486" spans="1:19" x14ac:dyDescent="0.25">
      <c r="A486">
        <v>5</v>
      </c>
      <c r="D486">
        <v>7.875</v>
      </c>
      <c r="Q486">
        <v>4.5</v>
      </c>
      <c r="S486">
        <v>4</v>
      </c>
    </row>
    <row r="487" spans="1:19" x14ac:dyDescent="0.25">
      <c r="A487">
        <v>5</v>
      </c>
      <c r="D487">
        <v>1.125</v>
      </c>
      <c r="Q487">
        <v>5</v>
      </c>
      <c r="S487">
        <v>5</v>
      </c>
    </row>
    <row r="488" spans="1:19" x14ac:dyDescent="0.25">
      <c r="A488">
        <v>5</v>
      </c>
      <c r="D488">
        <v>7.5</v>
      </c>
      <c r="Q488">
        <v>5</v>
      </c>
      <c r="S488">
        <v>4</v>
      </c>
    </row>
    <row r="489" spans="1:19" x14ac:dyDescent="0.25">
      <c r="A489">
        <v>7</v>
      </c>
      <c r="D489">
        <v>7.5</v>
      </c>
      <c r="Q489">
        <v>3.75</v>
      </c>
      <c r="S489">
        <v>1</v>
      </c>
    </row>
    <row r="490" spans="1:19" x14ac:dyDescent="0.25">
      <c r="A490">
        <v>5</v>
      </c>
      <c r="D490">
        <v>1.5</v>
      </c>
      <c r="Q490">
        <v>5</v>
      </c>
      <c r="S490">
        <v>5</v>
      </c>
    </row>
    <row r="491" spans="1:19" x14ac:dyDescent="0.25">
      <c r="A491">
        <v>0.5</v>
      </c>
      <c r="D491">
        <v>7.5</v>
      </c>
      <c r="Q491">
        <v>5</v>
      </c>
      <c r="S491">
        <v>4</v>
      </c>
    </row>
    <row r="492" spans="1:19" x14ac:dyDescent="0.25">
      <c r="A492">
        <v>5</v>
      </c>
      <c r="D492">
        <v>8.25</v>
      </c>
      <c r="Q492">
        <v>3</v>
      </c>
      <c r="S492">
        <v>5</v>
      </c>
    </row>
    <row r="493" spans="1:19" x14ac:dyDescent="0.25">
      <c r="A493">
        <v>5.25</v>
      </c>
      <c r="D493">
        <v>4.75</v>
      </c>
      <c r="Q493">
        <v>4</v>
      </c>
      <c r="S493">
        <v>3.5</v>
      </c>
    </row>
    <row r="494" spans="1:19" x14ac:dyDescent="0.25">
      <c r="A494">
        <v>1.5</v>
      </c>
      <c r="D494">
        <v>11.25</v>
      </c>
      <c r="Q494">
        <v>5</v>
      </c>
      <c r="S494">
        <v>5</v>
      </c>
    </row>
    <row r="495" spans="1:19" x14ac:dyDescent="0.25">
      <c r="A495">
        <v>4.5</v>
      </c>
      <c r="D495">
        <v>5</v>
      </c>
      <c r="Q495">
        <v>4</v>
      </c>
      <c r="S495">
        <v>4.25</v>
      </c>
    </row>
    <row r="496" spans="1:19" x14ac:dyDescent="0.25">
      <c r="A496">
        <v>5</v>
      </c>
      <c r="D496">
        <v>1.875</v>
      </c>
      <c r="Q496">
        <v>5</v>
      </c>
      <c r="S496">
        <v>5</v>
      </c>
    </row>
    <row r="497" spans="1:19" x14ac:dyDescent="0.25">
      <c r="A497">
        <v>7.5</v>
      </c>
      <c r="D497">
        <v>5</v>
      </c>
      <c r="Q497">
        <v>3.5</v>
      </c>
      <c r="S497">
        <v>5</v>
      </c>
    </row>
    <row r="498" spans="1:19" x14ac:dyDescent="0.25">
      <c r="A498">
        <v>7.5</v>
      </c>
      <c r="D498">
        <v>5</v>
      </c>
      <c r="Q498">
        <v>1.75</v>
      </c>
      <c r="S498">
        <v>4</v>
      </c>
    </row>
    <row r="499" spans="1:19" x14ac:dyDescent="0.25">
      <c r="A499">
        <v>7.5</v>
      </c>
      <c r="D499">
        <v>5</v>
      </c>
      <c r="Q499">
        <v>5</v>
      </c>
      <c r="S499">
        <v>1</v>
      </c>
    </row>
    <row r="500" spans="1:19" x14ac:dyDescent="0.25">
      <c r="A500">
        <v>0.75</v>
      </c>
      <c r="D500">
        <v>4.5</v>
      </c>
      <c r="Q500">
        <v>5</v>
      </c>
      <c r="S500">
        <v>5</v>
      </c>
    </row>
    <row r="501" spans="1:19" x14ac:dyDescent="0.25">
      <c r="A501">
        <v>7.5</v>
      </c>
      <c r="D501">
        <v>5</v>
      </c>
      <c r="Q501">
        <v>1.5</v>
      </c>
      <c r="S501">
        <v>2.5</v>
      </c>
    </row>
    <row r="502" spans="1:19" x14ac:dyDescent="0.25">
      <c r="A502">
        <v>7.5</v>
      </c>
      <c r="D502">
        <v>5</v>
      </c>
      <c r="Q502">
        <v>2.75</v>
      </c>
      <c r="S502">
        <v>5</v>
      </c>
    </row>
    <row r="503" spans="1:19" x14ac:dyDescent="0.25">
      <c r="A503">
        <v>7.5</v>
      </c>
      <c r="D503">
        <v>5</v>
      </c>
      <c r="Q503">
        <v>4.5</v>
      </c>
      <c r="S503">
        <v>4</v>
      </c>
    </row>
    <row r="504" spans="1:19" x14ac:dyDescent="0.25">
      <c r="A504">
        <v>8.25</v>
      </c>
      <c r="D504">
        <v>5</v>
      </c>
      <c r="Q504">
        <v>5</v>
      </c>
      <c r="S504">
        <v>2.5</v>
      </c>
    </row>
    <row r="505" spans="1:19" x14ac:dyDescent="0.25">
      <c r="A505">
        <v>0.75</v>
      </c>
      <c r="D505">
        <v>12.375</v>
      </c>
      <c r="Q505">
        <v>3</v>
      </c>
      <c r="S505">
        <v>5</v>
      </c>
    </row>
    <row r="506" spans="1:19" x14ac:dyDescent="0.25">
      <c r="A506">
        <v>7.5</v>
      </c>
      <c r="D506">
        <v>3.25</v>
      </c>
      <c r="Q506">
        <v>5</v>
      </c>
      <c r="S506">
        <v>5</v>
      </c>
    </row>
    <row r="507" spans="1:19" x14ac:dyDescent="0.25">
      <c r="A507">
        <v>4</v>
      </c>
      <c r="D507">
        <v>4</v>
      </c>
      <c r="Q507">
        <v>3</v>
      </c>
      <c r="S507">
        <v>5</v>
      </c>
    </row>
    <row r="508" spans="1:19" x14ac:dyDescent="0.25">
      <c r="A508">
        <v>7.5</v>
      </c>
      <c r="D508">
        <v>10.5</v>
      </c>
      <c r="Q508">
        <v>5</v>
      </c>
      <c r="S508">
        <v>1.25</v>
      </c>
    </row>
    <row r="509" spans="1:19" x14ac:dyDescent="0.25">
      <c r="A509">
        <v>7.5</v>
      </c>
      <c r="D509">
        <v>7.5</v>
      </c>
      <c r="Q509">
        <v>3</v>
      </c>
      <c r="S509">
        <v>5</v>
      </c>
    </row>
    <row r="510" spans="1:19" x14ac:dyDescent="0.25">
      <c r="A510">
        <v>7.5</v>
      </c>
      <c r="D510">
        <v>7.5</v>
      </c>
      <c r="Q510">
        <v>5</v>
      </c>
      <c r="S510">
        <v>5</v>
      </c>
    </row>
    <row r="511" spans="1:19" x14ac:dyDescent="0.25">
      <c r="A511">
        <v>4</v>
      </c>
      <c r="D511">
        <v>5</v>
      </c>
      <c r="Q511">
        <v>3</v>
      </c>
      <c r="S511">
        <v>5</v>
      </c>
    </row>
    <row r="512" spans="1:19" x14ac:dyDescent="0.25">
      <c r="A512">
        <v>3.375</v>
      </c>
      <c r="D512">
        <v>3.5</v>
      </c>
      <c r="Q512">
        <v>5</v>
      </c>
      <c r="S512">
        <v>5</v>
      </c>
    </row>
    <row r="513" spans="1:19" x14ac:dyDescent="0.25">
      <c r="A513">
        <v>11.25</v>
      </c>
      <c r="D513">
        <v>7.5</v>
      </c>
      <c r="Q513">
        <v>2.5</v>
      </c>
      <c r="S513">
        <v>4.5</v>
      </c>
    </row>
    <row r="514" spans="1:19" x14ac:dyDescent="0.25">
      <c r="A514">
        <v>15.75</v>
      </c>
      <c r="D514">
        <v>6</v>
      </c>
      <c r="Q514">
        <v>1.875</v>
      </c>
      <c r="S514">
        <v>5</v>
      </c>
    </row>
    <row r="515" spans="1:19" x14ac:dyDescent="0.25">
      <c r="A515">
        <v>7.5</v>
      </c>
      <c r="D515">
        <v>5</v>
      </c>
      <c r="Q515">
        <v>6.375</v>
      </c>
      <c r="S515">
        <v>5</v>
      </c>
    </row>
    <row r="516" spans="1:19" x14ac:dyDescent="0.25">
      <c r="A516">
        <v>7.5</v>
      </c>
      <c r="D516">
        <v>3.25</v>
      </c>
      <c r="Q516">
        <v>5</v>
      </c>
      <c r="S516">
        <v>5</v>
      </c>
    </row>
    <row r="517" spans="1:19" x14ac:dyDescent="0.25">
      <c r="A517">
        <v>7.875</v>
      </c>
      <c r="D517">
        <v>9.375</v>
      </c>
      <c r="Q517">
        <v>5</v>
      </c>
      <c r="S517">
        <v>1</v>
      </c>
    </row>
    <row r="518" spans="1:19" x14ac:dyDescent="0.25">
      <c r="A518">
        <v>12</v>
      </c>
      <c r="D518">
        <v>12</v>
      </c>
      <c r="Q518">
        <v>3.75</v>
      </c>
      <c r="S518">
        <v>8.25</v>
      </c>
    </row>
    <row r="519" spans="1:19" x14ac:dyDescent="0.25">
      <c r="A519">
        <v>7.125</v>
      </c>
      <c r="D519">
        <v>7.5</v>
      </c>
      <c r="Q519">
        <v>3.75</v>
      </c>
      <c r="S519">
        <v>5</v>
      </c>
    </row>
    <row r="520" spans="1:19" x14ac:dyDescent="0.25">
      <c r="A520">
        <v>0.75</v>
      </c>
      <c r="D520">
        <v>10.5</v>
      </c>
      <c r="Q520">
        <v>5</v>
      </c>
      <c r="S520">
        <v>4.25</v>
      </c>
    </row>
    <row r="521" spans="1:19" x14ac:dyDescent="0.25">
      <c r="A521">
        <v>11.25</v>
      </c>
      <c r="D521">
        <v>7.5</v>
      </c>
      <c r="Q521">
        <v>5</v>
      </c>
      <c r="S521">
        <v>3.5</v>
      </c>
    </row>
    <row r="522" spans="1:19" x14ac:dyDescent="0.25">
      <c r="A522">
        <v>7.5</v>
      </c>
      <c r="D522">
        <v>7.5</v>
      </c>
      <c r="Q522">
        <v>0.5</v>
      </c>
      <c r="S522">
        <v>5.5</v>
      </c>
    </row>
    <row r="523" spans="1:19" x14ac:dyDescent="0.25">
      <c r="A523">
        <v>7.5</v>
      </c>
      <c r="D523">
        <v>7.5</v>
      </c>
      <c r="Q523">
        <v>5</v>
      </c>
      <c r="S523">
        <v>5</v>
      </c>
    </row>
    <row r="524" spans="1:19" x14ac:dyDescent="0.25">
      <c r="A524">
        <v>6</v>
      </c>
      <c r="D524">
        <v>7.5</v>
      </c>
      <c r="Q524">
        <v>5</v>
      </c>
      <c r="S524">
        <v>5</v>
      </c>
    </row>
    <row r="525" spans="1:19" x14ac:dyDescent="0.25">
      <c r="A525">
        <v>7.875</v>
      </c>
      <c r="D525">
        <v>2.25</v>
      </c>
      <c r="Q525">
        <v>7</v>
      </c>
      <c r="S525">
        <v>5</v>
      </c>
    </row>
    <row r="526" spans="1:19" x14ac:dyDescent="0.25">
      <c r="A526">
        <v>7.5</v>
      </c>
      <c r="D526">
        <v>5.625</v>
      </c>
      <c r="Q526">
        <v>5</v>
      </c>
      <c r="S526">
        <v>5</v>
      </c>
    </row>
    <row r="527" spans="1:19" x14ac:dyDescent="0.25">
      <c r="A527">
        <v>7.5</v>
      </c>
      <c r="D527">
        <v>2.75</v>
      </c>
      <c r="Q527">
        <v>5.25</v>
      </c>
      <c r="S527">
        <v>5</v>
      </c>
    </row>
    <row r="528" spans="1:19" x14ac:dyDescent="0.25">
      <c r="A528">
        <v>7.5</v>
      </c>
      <c r="D528">
        <v>2.625</v>
      </c>
      <c r="Q528">
        <v>5.25</v>
      </c>
      <c r="S528">
        <v>5</v>
      </c>
    </row>
    <row r="529" spans="1:19" x14ac:dyDescent="0.25">
      <c r="A529">
        <v>1.125</v>
      </c>
      <c r="D529">
        <v>0.5</v>
      </c>
      <c r="Q529">
        <v>5</v>
      </c>
      <c r="S529">
        <v>5</v>
      </c>
    </row>
    <row r="530" spans="1:19" x14ac:dyDescent="0.25">
      <c r="A530">
        <v>7.5</v>
      </c>
      <c r="D530">
        <v>7.125</v>
      </c>
      <c r="Q530">
        <v>1.5</v>
      </c>
      <c r="S530">
        <v>5</v>
      </c>
    </row>
    <row r="531" spans="1:19" x14ac:dyDescent="0.25">
      <c r="A531">
        <v>7.5</v>
      </c>
      <c r="D531">
        <v>7.5</v>
      </c>
      <c r="Q531">
        <v>5</v>
      </c>
      <c r="S531">
        <v>2.25</v>
      </c>
    </row>
    <row r="532" spans="1:19" x14ac:dyDescent="0.25">
      <c r="A532">
        <v>1.5</v>
      </c>
      <c r="D532">
        <v>7.5</v>
      </c>
      <c r="Q532">
        <v>5</v>
      </c>
      <c r="S532">
        <v>5</v>
      </c>
    </row>
    <row r="533" spans="1:19" x14ac:dyDescent="0.25">
      <c r="A533">
        <v>7.5</v>
      </c>
      <c r="D533">
        <v>3.75</v>
      </c>
      <c r="Q533">
        <v>5</v>
      </c>
      <c r="S533">
        <v>5</v>
      </c>
    </row>
    <row r="534" spans="1:19" x14ac:dyDescent="0.25">
      <c r="A534">
        <v>8.25</v>
      </c>
      <c r="D534">
        <v>7.875</v>
      </c>
      <c r="Q534">
        <v>2.75</v>
      </c>
      <c r="S534">
        <v>5</v>
      </c>
    </row>
    <row r="535" spans="1:19" x14ac:dyDescent="0.25">
      <c r="A535">
        <v>4.75</v>
      </c>
      <c r="D535">
        <v>0.75</v>
      </c>
      <c r="Q535">
        <v>5</v>
      </c>
      <c r="S535">
        <v>5</v>
      </c>
    </row>
    <row r="536" spans="1:19" x14ac:dyDescent="0.25">
      <c r="A536">
        <v>11.25</v>
      </c>
      <c r="D536">
        <v>11.625</v>
      </c>
      <c r="Q536">
        <v>5</v>
      </c>
      <c r="S536">
        <v>2.5</v>
      </c>
    </row>
    <row r="537" spans="1:19" x14ac:dyDescent="0.25">
      <c r="A537">
        <v>5</v>
      </c>
      <c r="D537">
        <v>7.5</v>
      </c>
      <c r="Q537">
        <v>8.25</v>
      </c>
      <c r="S537">
        <v>5</v>
      </c>
    </row>
    <row r="538" spans="1:19" x14ac:dyDescent="0.25">
      <c r="A538">
        <v>1.875</v>
      </c>
      <c r="D538">
        <v>7.5</v>
      </c>
      <c r="Q538">
        <v>5</v>
      </c>
      <c r="S538">
        <v>7</v>
      </c>
    </row>
    <row r="539" spans="1:19" x14ac:dyDescent="0.25">
      <c r="A539">
        <v>5</v>
      </c>
      <c r="D539">
        <v>7.5</v>
      </c>
      <c r="Q539">
        <v>1.25</v>
      </c>
      <c r="S539">
        <v>1</v>
      </c>
    </row>
    <row r="540" spans="1:19" x14ac:dyDescent="0.25">
      <c r="A540">
        <v>5</v>
      </c>
      <c r="D540">
        <v>6</v>
      </c>
      <c r="Q540">
        <v>5</v>
      </c>
      <c r="S540">
        <v>3.5</v>
      </c>
    </row>
    <row r="541" spans="1:19" x14ac:dyDescent="0.25">
      <c r="A541">
        <v>5</v>
      </c>
      <c r="D541">
        <v>18</v>
      </c>
      <c r="Q541">
        <v>9.75</v>
      </c>
      <c r="S541">
        <v>2.25</v>
      </c>
    </row>
    <row r="542" spans="1:19" x14ac:dyDescent="0.25">
      <c r="A542">
        <v>4.5</v>
      </c>
      <c r="D542">
        <v>7.5</v>
      </c>
      <c r="Q542">
        <v>5</v>
      </c>
      <c r="S542">
        <v>5</v>
      </c>
    </row>
    <row r="543" spans="1:19" x14ac:dyDescent="0.25">
      <c r="A543">
        <v>8</v>
      </c>
      <c r="D543">
        <v>9.375</v>
      </c>
      <c r="Q543">
        <v>2</v>
      </c>
      <c r="S543">
        <v>5</v>
      </c>
    </row>
    <row r="544" spans="1:19" x14ac:dyDescent="0.25">
      <c r="A544">
        <v>8</v>
      </c>
      <c r="D544">
        <v>12</v>
      </c>
      <c r="Q544">
        <v>5</v>
      </c>
      <c r="S544">
        <v>5</v>
      </c>
    </row>
    <row r="545" spans="1:19" x14ac:dyDescent="0.25">
      <c r="A545">
        <v>5</v>
      </c>
      <c r="D545">
        <v>11.75</v>
      </c>
      <c r="Q545">
        <v>3</v>
      </c>
      <c r="S545">
        <v>5.75</v>
      </c>
    </row>
    <row r="546" spans="1:19" x14ac:dyDescent="0.25">
      <c r="A546">
        <v>4.5</v>
      </c>
      <c r="D546">
        <v>11</v>
      </c>
      <c r="Q546">
        <v>0.25</v>
      </c>
      <c r="S546">
        <v>5</v>
      </c>
    </row>
    <row r="547" spans="1:19" x14ac:dyDescent="0.25">
      <c r="A547">
        <v>3</v>
      </c>
      <c r="D547">
        <v>3</v>
      </c>
      <c r="Q547">
        <v>5</v>
      </c>
      <c r="S547">
        <v>4</v>
      </c>
    </row>
    <row r="548" spans="1:19" x14ac:dyDescent="0.25">
      <c r="A548">
        <v>5</v>
      </c>
      <c r="D548">
        <v>5.625</v>
      </c>
      <c r="Q548">
        <v>5</v>
      </c>
      <c r="S548">
        <v>5</v>
      </c>
    </row>
    <row r="549" spans="1:19" x14ac:dyDescent="0.25">
      <c r="A549">
        <v>5</v>
      </c>
      <c r="D549">
        <v>3.375</v>
      </c>
      <c r="Q549">
        <v>5</v>
      </c>
      <c r="S549">
        <v>3.75</v>
      </c>
    </row>
    <row r="550" spans="1:19" x14ac:dyDescent="0.25">
      <c r="A550">
        <v>5</v>
      </c>
      <c r="D550">
        <v>1.25</v>
      </c>
      <c r="Q550">
        <v>5.25</v>
      </c>
      <c r="S550">
        <v>5</v>
      </c>
    </row>
    <row r="551" spans="1:19" x14ac:dyDescent="0.25">
      <c r="A551">
        <v>5</v>
      </c>
      <c r="D551">
        <v>3.75</v>
      </c>
      <c r="Q551">
        <v>5</v>
      </c>
      <c r="S551">
        <v>7.5</v>
      </c>
    </row>
    <row r="552" spans="1:19" x14ac:dyDescent="0.25">
      <c r="A552">
        <v>2.5</v>
      </c>
      <c r="D552">
        <v>7.5</v>
      </c>
      <c r="Q552">
        <v>3</v>
      </c>
      <c r="S552">
        <v>11.625</v>
      </c>
    </row>
    <row r="553" spans="1:19" x14ac:dyDescent="0.25">
      <c r="A553">
        <v>5.25</v>
      </c>
      <c r="D553">
        <v>7.125</v>
      </c>
      <c r="Q553">
        <v>5</v>
      </c>
      <c r="S553">
        <v>10.5</v>
      </c>
    </row>
    <row r="554" spans="1:19" x14ac:dyDescent="0.25">
      <c r="A554">
        <v>7.5</v>
      </c>
      <c r="D554">
        <v>3</v>
      </c>
      <c r="Q554">
        <v>5</v>
      </c>
      <c r="S554">
        <v>7.5</v>
      </c>
    </row>
    <row r="555" spans="1:19" x14ac:dyDescent="0.25">
      <c r="A555">
        <v>12.375</v>
      </c>
      <c r="D555">
        <v>5</v>
      </c>
      <c r="Q555">
        <v>5</v>
      </c>
      <c r="S555">
        <v>7.5</v>
      </c>
    </row>
    <row r="556" spans="1:19" x14ac:dyDescent="0.25">
      <c r="A556">
        <v>3.25</v>
      </c>
      <c r="D556">
        <v>5</v>
      </c>
      <c r="Q556">
        <v>5</v>
      </c>
      <c r="S556">
        <v>8.25</v>
      </c>
    </row>
    <row r="557" spans="1:19" x14ac:dyDescent="0.25">
      <c r="A557">
        <v>8.25</v>
      </c>
      <c r="D557">
        <v>9.75</v>
      </c>
      <c r="Q557">
        <v>1.5</v>
      </c>
      <c r="S557">
        <v>5</v>
      </c>
    </row>
    <row r="558" spans="1:19" x14ac:dyDescent="0.25">
      <c r="A558">
        <v>7.5</v>
      </c>
      <c r="D558">
        <v>7.5</v>
      </c>
      <c r="Q558">
        <v>5</v>
      </c>
      <c r="S558">
        <v>4.75</v>
      </c>
    </row>
    <row r="559" spans="1:19" x14ac:dyDescent="0.25">
      <c r="A559">
        <v>7.5</v>
      </c>
      <c r="D559">
        <v>10.5</v>
      </c>
      <c r="Q559">
        <v>3.5</v>
      </c>
      <c r="S559">
        <v>0.75</v>
      </c>
    </row>
    <row r="560" spans="1:19" x14ac:dyDescent="0.25">
      <c r="A560">
        <v>8.25</v>
      </c>
      <c r="D560">
        <v>1.5</v>
      </c>
      <c r="Q560">
        <v>3.5</v>
      </c>
      <c r="S560">
        <v>8</v>
      </c>
    </row>
    <row r="561" spans="1:19" x14ac:dyDescent="0.25">
      <c r="A561">
        <v>7.5</v>
      </c>
      <c r="D561">
        <v>7.5</v>
      </c>
      <c r="Q561">
        <v>5</v>
      </c>
      <c r="S561">
        <v>5</v>
      </c>
    </row>
    <row r="562" spans="1:19" x14ac:dyDescent="0.25">
      <c r="A562">
        <v>7.5</v>
      </c>
      <c r="D562">
        <v>5</v>
      </c>
      <c r="Q562">
        <v>2.25</v>
      </c>
      <c r="S562">
        <v>5</v>
      </c>
    </row>
    <row r="563" spans="1:19" x14ac:dyDescent="0.25">
      <c r="A563">
        <v>7.125</v>
      </c>
      <c r="D563">
        <v>7.5</v>
      </c>
      <c r="Q563">
        <v>8.75</v>
      </c>
      <c r="S563">
        <v>2.25</v>
      </c>
    </row>
    <row r="564" spans="1:19" x14ac:dyDescent="0.25">
      <c r="A564">
        <v>5</v>
      </c>
      <c r="D564">
        <v>7.875</v>
      </c>
      <c r="Q564">
        <v>5</v>
      </c>
      <c r="S564">
        <v>5</v>
      </c>
    </row>
    <row r="565" spans="1:19" x14ac:dyDescent="0.25">
      <c r="A565">
        <v>4</v>
      </c>
      <c r="D565">
        <v>7.5</v>
      </c>
      <c r="Q565">
        <v>5</v>
      </c>
      <c r="S565">
        <v>2.5</v>
      </c>
    </row>
    <row r="566" spans="1:19" x14ac:dyDescent="0.25">
      <c r="A566">
        <v>6.75</v>
      </c>
      <c r="D566">
        <v>7.5</v>
      </c>
      <c r="Q566">
        <v>5</v>
      </c>
      <c r="S566">
        <v>8.25</v>
      </c>
    </row>
    <row r="567" spans="1:19" x14ac:dyDescent="0.25">
      <c r="A567">
        <v>10.5</v>
      </c>
      <c r="D567">
        <v>7.5</v>
      </c>
      <c r="Q567">
        <v>5</v>
      </c>
      <c r="S567">
        <v>4.75</v>
      </c>
    </row>
    <row r="568" spans="1:19" x14ac:dyDescent="0.25">
      <c r="A568">
        <v>7.5</v>
      </c>
      <c r="D568">
        <v>7.5</v>
      </c>
      <c r="Q568">
        <v>7.5</v>
      </c>
      <c r="S568">
        <v>7</v>
      </c>
    </row>
    <row r="569" spans="1:19" x14ac:dyDescent="0.25">
      <c r="A569">
        <v>8.25</v>
      </c>
      <c r="D569">
        <v>10.5</v>
      </c>
      <c r="Q569">
        <v>3.5</v>
      </c>
      <c r="S569">
        <v>5</v>
      </c>
    </row>
    <row r="570" spans="1:19" x14ac:dyDescent="0.25">
      <c r="A570">
        <v>7.5</v>
      </c>
      <c r="D570">
        <v>7.5</v>
      </c>
      <c r="Q570">
        <v>3</v>
      </c>
      <c r="S570">
        <v>5</v>
      </c>
    </row>
    <row r="571" spans="1:19" x14ac:dyDescent="0.25">
      <c r="A571">
        <v>7.5</v>
      </c>
      <c r="D571">
        <v>1.5</v>
      </c>
      <c r="Q571">
        <v>5.5</v>
      </c>
      <c r="S571">
        <v>4</v>
      </c>
    </row>
    <row r="572" spans="1:19" x14ac:dyDescent="0.25">
      <c r="A572">
        <v>7.5</v>
      </c>
      <c r="D572">
        <v>7.5</v>
      </c>
      <c r="Q572">
        <v>5</v>
      </c>
      <c r="S572">
        <v>3.5</v>
      </c>
    </row>
    <row r="573" spans="1:19" x14ac:dyDescent="0.25">
      <c r="A573">
        <v>7.5</v>
      </c>
      <c r="D573">
        <v>5</v>
      </c>
      <c r="Q573">
        <v>5.25</v>
      </c>
      <c r="S573">
        <v>5</v>
      </c>
    </row>
    <row r="574" spans="1:19" x14ac:dyDescent="0.25">
      <c r="A574">
        <v>7.5</v>
      </c>
      <c r="D574">
        <v>7.5</v>
      </c>
      <c r="Q574">
        <v>5</v>
      </c>
      <c r="S574">
        <v>2</v>
      </c>
    </row>
    <row r="575" spans="1:19" x14ac:dyDescent="0.25">
      <c r="A575">
        <v>3</v>
      </c>
      <c r="D575">
        <v>7.5</v>
      </c>
      <c r="Q575">
        <v>5</v>
      </c>
      <c r="S575">
        <v>2.25</v>
      </c>
    </row>
    <row r="576" spans="1:19" x14ac:dyDescent="0.25">
      <c r="A576">
        <v>7.5</v>
      </c>
      <c r="D576">
        <v>1.5</v>
      </c>
      <c r="Q576">
        <v>5</v>
      </c>
      <c r="S576">
        <v>7</v>
      </c>
    </row>
    <row r="577" spans="1:19" x14ac:dyDescent="0.25">
      <c r="A577">
        <v>5</v>
      </c>
      <c r="D577">
        <v>7.5</v>
      </c>
      <c r="Q577">
        <v>5</v>
      </c>
      <c r="S577">
        <v>5</v>
      </c>
    </row>
    <row r="578" spans="1:19" x14ac:dyDescent="0.25">
      <c r="A578">
        <v>3.5</v>
      </c>
      <c r="D578">
        <v>4</v>
      </c>
      <c r="Q578">
        <v>5</v>
      </c>
      <c r="S578">
        <v>1.75</v>
      </c>
    </row>
    <row r="579" spans="1:19" x14ac:dyDescent="0.25">
      <c r="A579">
        <v>7.5</v>
      </c>
      <c r="D579">
        <v>7.5</v>
      </c>
      <c r="Q579">
        <v>5</v>
      </c>
      <c r="S579">
        <v>4</v>
      </c>
    </row>
    <row r="580" spans="1:19" x14ac:dyDescent="0.25">
      <c r="A580">
        <v>7.5</v>
      </c>
      <c r="D580">
        <v>7.5</v>
      </c>
      <c r="Q580">
        <v>5</v>
      </c>
      <c r="S580">
        <v>5</v>
      </c>
    </row>
    <row r="581" spans="1:19" x14ac:dyDescent="0.25">
      <c r="A581">
        <v>7.5</v>
      </c>
      <c r="D581">
        <v>1.875</v>
      </c>
      <c r="Q581">
        <v>5</v>
      </c>
      <c r="S581">
        <v>5</v>
      </c>
    </row>
    <row r="582" spans="1:19" x14ac:dyDescent="0.25">
      <c r="A582">
        <v>7.5</v>
      </c>
      <c r="D582">
        <v>3</v>
      </c>
      <c r="Q582">
        <v>5</v>
      </c>
      <c r="S582">
        <v>5</v>
      </c>
    </row>
    <row r="583" spans="1:19" x14ac:dyDescent="0.25">
      <c r="A583">
        <v>7.5</v>
      </c>
      <c r="D583">
        <v>1.5</v>
      </c>
      <c r="Q583">
        <v>4.25</v>
      </c>
      <c r="S583">
        <v>0.5</v>
      </c>
    </row>
    <row r="584" spans="1:19" x14ac:dyDescent="0.25">
      <c r="A584">
        <v>5</v>
      </c>
      <c r="D584">
        <v>7.5</v>
      </c>
      <c r="Q584">
        <v>5.25</v>
      </c>
      <c r="S584">
        <v>5</v>
      </c>
    </row>
    <row r="585" spans="1:19" x14ac:dyDescent="0.25">
      <c r="A585">
        <v>7.5</v>
      </c>
      <c r="D585">
        <v>7.5</v>
      </c>
      <c r="Q585">
        <v>5</v>
      </c>
      <c r="S585">
        <v>5</v>
      </c>
    </row>
    <row r="586" spans="1:19" x14ac:dyDescent="0.25">
      <c r="A586">
        <v>6</v>
      </c>
      <c r="D586">
        <v>5</v>
      </c>
      <c r="Q586">
        <v>7</v>
      </c>
      <c r="S586">
        <v>3.5</v>
      </c>
    </row>
    <row r="587" spans="1:19" x14ac:dyDescent="0.25">
      <c r="A587">
        <v>5</v>
      </c>
      <c r="D587">
        <v>7.875</v>
      </c>
      <c r="Q587">
        <v>2.5</v>
      </c>
      <c r="S587">
        <v>4</v>
      </c>
    </row>
    <row r="588" spans="1:19" x14ac:dyDescent="0.25">
      <c r="A588">
        <v>3.25</v>
      </c>
      <c r="D588">
        <v>7.5</v>
      </c>
      <c r="Q588">
        <v>6.75</v>
      </c>
      <c r="S588">
        <v>8.25</v>
      </c>
    </row>
    <row r="589" spans="1:19" x14ac:dyDescent="0.25">
      <c r="A589">
        <v>9.375</v>
      </c>
      <c r="D589">
        <v>7.875</v>
      </c>
      <c r="Q589">
        <v>4.75</v>
      </c>
      <c r="S589">
        <v>5</v>
      </c>
    </row>
    <row r="590" spans="1:19" x14ac:dyDescent="0.25">
      <c r="A590">
        <v>12</v>
      </c>
      <c r="D590">
        <v>7.5</v>
      </c>
      <c r="Q590">
        <v>5</v>
      </c>
      <c r="S590">
        <v>5.5</v>
      </c>
    </row>
    <row r="591" spans="1:19" x14ac:dyDescent="0.25">
      <c r="A591">
        <v>3</v>
      </c>
      <c r="D591">
        <v>5</v>
      </c>
      <c r="Q591">
        <v>7</v>
      </c>
      <c r="S591">
        <v>5</v>
      </c>
    </row>
    <row r="592" spans="1:19" x14ac:dyDescent="0.25">
      <c r="A592">
        <v>7.5</v>
      </c>
      <c r="D592">
        <v>7.5</v>
      </c>
      <c r="Q592">
        <v>4.25</v>
      </c>
      <c r="S592">
        <v>5</v>
      </c>
    </row>
    <row r="593" spans="1:19" x14ac:dyDescent="0.25">
      <c r="A593">
        <v>10.5</v>
      </c>
      <c r="D593">
        <v>6</v>
      </c>
      <c r="Q593">
        <v>1</v>
      </c>
      <c r="S593">
        <v>5</v>
      </c>
    </row>
    <row r="594" spans="1:19" x14ac:dyDescent="0.25">
      <c r="A594">
        <v>7.5</v>
      </c>
      <c r="D594">
        <v>7.5</v>
      </c>
      <c r="Q594">
        <v>5</v>
      </c>
      <c r="S594">
        <v>5</v>
      </c>
    </row>
    <row r="595" spans="1:19" x14ac:dyDescent="0.25">
      <c r="A595">
        <v>7.5</v>
      </c>
      <c r="D595">
        <v>7.5</v>
      </c>
      <c r="Q595">
        <v>4</v>
      </c>
      <c r="S595">
        <v>4.5</v>
      </c>
    </row>
    <row r="596" spans="1:19" x14ac:dyDescent="0.25">
      <c r="A596">
        <v>1.125</v>
      </c>
      <c r="D596">
        <v>7.5</v>
      </c>
      <c r="Q596">
        <v>2.5</v>
      </c>
      <c r="S596">
        <v>5</v>
      </c>
    </row>
    <row r="597" spans="1:19" x14ac:dyDescent="0.25">
      <c r="A597">
        <v>2.5</v>
      </c>
      <c r="D597">
        <v>7.5</v>
      </c>
      <c r="Q597">
        <v>5</v>
      </c>
      <c r="S597">
        <v>5</v>
      </c>
    </row>
    <row r="598" spans="1:19" x14ac:dyDescent="0.25">
      <c r="A598">
        <v>7.5</v>
      </c>
      <c r="D598">
        <v>9.75</v>
      </c>
      <c r="Q598">
        <v>4</v>
      </c>
      <c r="S598">
        <v>5</v>
      </c>
    </row>
    <row r="599" spans="1:19" x14ac:dyDescent="0.25">
      <c r="A599">
        <v>7.5</v>
      </c>
      <c r="D599">
        <v>12</v>
      </c>
      <c r="Q599">
        <v>5</v>
      </c>
      <c r="S599">
        <v>5</v>
      </c>
    </row>
    <row r="600" spans="1:19" x14ac:dyDescent="0.25">
      <c r="A600">
        <v>2.25</v>
      </c>
      <c r="D600">
        <v>4</v>
      </c>
      <c r="Q600">
        <v>5</v>
      </c>
      <c r="S600">
        <v>3.5</v>
      </c>
    </row>
    <row r="601" spans="1:19" x14ac:dyDescent="0.25">
      <c r="A601">
        <v>5.625</v>
      </c>
      <c r="D601">
        <v>7.5</v>
      </c>
      <c r="Q601">
        <v>5</v>
      </c>
      <c r="S601">
        <v>2</v>
      </c>
    </row>
    <row r="602" spans="1:19" x14ac:dyDescent="0.25">
      <c r="A602">
        <v>2.75</v>
      </c>
      <c r="D602">
        <v>12</v>
      </c>
      <c r="Q602">
        <v>5</v>
      </c>
      <c r="S602">
        <v>5</v>
      </c>
    </row>
    <row r="603" spans="1:19" x14ac:dyDescent="0.25">
      <c r="A603">
        <v>6</v>
      </c>
      <c r="D603">
        <v>3</v>
      </c>
      <c r="Q603">
        <v>4</v>
      </c>
      <c r="S603">
        <v>5</v>
      </c>
    </row>
    <row r="604" spans="1:19" x14ac:dyDescent="0.25">
      <c r="A604">
        <v>2.625</v>
      </c>
      <c r="D604">
        <v>2.25</v>
      </c>
      <c r="Q604">
        <v>3.5</v>
      </c>
      <c r="S604">
        <v>7</v>
      </c>
    </row>
    <row r="605" spans="1:19" x14ac:dyDescent="0.25">
      <c r="A605">
        <v>0.5</v>
      </c>
      <c r="D605">
        <v>7.5</v>
      </c>
      <c r="Q605">
        <v>5</v>
      </c>
      <c r="S605">
        <v>7</v>
      </c>
    </row>
    <row r="606" spans="1:19" x14ac:dyDescent="0.25">
      <c r="A606">
        <v>5</v>
      </c>
      <c r="D606">
        <v>0.75</v>
      </c>
      <c r="Q606">
        <v>4.5</v>
      </c>
      <c r="S606">
        <v>5</v>
      </c>
    </row>
    <row r="607" spans="1:19" x14ac:dyDescent="0.25">
      <c r="A607">
        <v>7.5</v>
      </c>
      <c r="D607">
        <v>7.5</v>
      </c>
      <c r="Q607">
        <v>5</v>
      </c>
      <c r="S607">
        <v>4.5</v>
      </c>
    </row>
    <row r="608" spans="1:19" x14ac:dyDescent="0.25">
      <c r="A608">
        <v>7.125</v>
      </c>
      <c r="D608">
        <v>7.5</v>
      </c>
      <c r="Q608">
        <v>5</v>
      </c>
      <c r="S608">
        <v>2</v>
      </c>
    </row>
    <row r="609" spans="1:19" x14ac:dyDescent="0.25">
      <c r="A609">
        <v>7.5</v>
      </c>
      <c r="D609">
        <v>7.5</v>
      </c>
      <c r="Q609">
        <v>5</v>
      </c>
      <c r="S609">
        <v>5.5</v>
      </c>
    </row>
    <row r="610" spans="1:19" x14ac:dyDescent="0.25">
      <c r="A610">
        <v>7.5</v>
      </c>
      <c r="D610">
        <v>3.375</v>
      </c>
      <c r="Q610">
        <v>5</v>
      </c>
      <c r="S610">
        <v>3.25</v>
      </c>
    </row>
    <row r="611" spans="1:19" x14ac:dyDescent="0.25">
      <c r="A611">
        <v>5</v>
      </c>
      <c r="D611">
        <v>3</v>
      </c>
      <c r="Q611">
        <v>5</v>
      </c>
      <c r="S611">
        <v>5</v>
      </c>
    </row>
    <row r="612" spans="1:19" x14ac:dyDescent="0.25">
      <c r="A612">
        <v>3.75</v>
      </c>
      <c r="D612">
        <v>5</v>
      </c>
      <c r="Q612">
        <v>5</v>
      </c>
      <c r="S612">
        <v>5</v>
      </c>
    </row>
    <row r="613" spans="1:19" x14ac:dyDescent="0.25">
      <c r="A613">
        <v>7.875</v>
      </c>
      <c r="D613">
        <v>7.5</v>
      </c>
      <c r="Q613">
        <v>5</v>
      </c>
      <c r="S613">
        <v>2.25</v>
      </c>
    </row>
    <row r="614" spans="1:19" x14ac:dyDescent="0.25">
      <c r="A614">
        <v>0.75</v>
      </c>
      <c r="D614">
        <v>5</v>
      </c>
      <c r="Q614">
        <v>5</v>
      </c>
      <c r="S614">
        <v>5</v>
      </c>
    </row>
    <row r="615" spans="1:19" x14ac:dyDescent="0.25">
      <c r="A615">
        <v>11.625</v>
      </c>
      <c r="D615">
        <v>3</v>
      </c>
      <c r="Q615">
        <v>5</v>
      </c>
      <c r="S615">
        <v>5</v>
      </c>
    </row>
    <row r="616" spans="1:19" x14ac:dyDescent="0.25">
      <c r="A616">
        <v>7.5</v>
      </c>
      <c r="D616">
        <v>7.5</v>
      </c>
      <c r="Q616">
        <v>5</v>
      </c>
      <c r="S616">
        <v>4</v>
      </c>
    </row>
    <row r="617" spans="1:19" x14ac:dyDescent="0.25">
      <c r="A617">
        <v>7.5</v>
      </c>
      <c r="D617">
        <v>2.75</v>
      </c>
      <c r="Q617">
        <v>5</v>
      </c>
      <c r="S617">
        <v>5</v>
      </c>
    </row>
    <row r="618" spans="1:19" x14ac:dyDescent="0.25">
      <c r="A618">
        <v>7.5</v>
      </c>
      <c r="D618">
        <v>0.75</v>
      </c>
      <c r="Q618">
        <v>5</v>
      </c>
      <c r="S618">
        <v>5</v>
      </c>
    </row>
    <row r="619" spans="1:19" x14ac:dyDescent="0.25">
      <c r="A619">
        <v>7.5</v>
      </c>
      <c r="D619">
        <v>5.625</v>
      </c>
      <c r="Q619">
        <v>5</v>
      </c>
      <c r="S619">
        <v>4</v>
      </c>
    </row>
    <row r="620" spans="1:19" x14ac:dyDescent="0.25">
      <c r="A620">
        <v>7.125</v>
      </c>
      <c r="D620">
        <v>7.125</v>
      </c>
      <c r="Q620">
        <v>5</v>
      </c>
      <c r="S620">
        <v>3.5</v>
      </c>
    </row>
    <row r="621" spans="1:19" x14ac:dyDescent="0.25">
      <c r="A621">
        <v>6</v>
      </c>
      <c r="D621">
        <v>5</v>
      </c>
      <c r="Q621">
        <v>5</v>
      </c>
      <c r="S621">
        <v>5</v>
      </c>
    </row>
    <row r="622" spans="1:19" x14ac:dyDescent="0.25">
      <c r="A622">
        <v>3</v>
      </c>
      <c r="D622">
        <v>11.25</v>
      </c>
      <c r="Q622">
        <v>5</v>
      </c>
      <c r="S622">
        <v>4</v>
      </c>
    </row>
    <row r="623" spans="1:19" x14ac:dyDescent="0.25">
      <c r="A623">
        <v>5</v>
      </c>
      <c r="D623">
        <v>7.5</v>
      </c>
      <c r="Q623">
        <v>5</v>
      </c>
      <c r="S623">
        <v>1</v>
      </c>
    </row>
    <row r="624" spans="1:19" x14ac:dyDescent="0.25">
      <c r="A624">
        <v>5.25</v>
      </c>
      <c r="D624">
        <v>6</v>
      </c>
      <c r="Q624">
        <v>5</v>
      </c>
      <c r="S624">
        <v>5</v>
      </c>
    </row>
    <row r="625" spans="1:19" x14ac:dyDescent="0.25">
      <c r="A625">
        <v>5</v>
      </c>
      <c r="D625">
        <v>5</v>
      </c>
      <c r="Q625">
        <v>5</v>
      </c>
      <c r="S625">
        <v>5</v>
      </c>
    </row>
    <row r="626" spans="1:19" x14ac:dyDescent="0.25">
      <c r="A626">
        <v>5</v>
      </c>
      <c r="D626">
        <v>1.5</v>
      </c>
      <c r="Q626">
        <v>5</v>
      </c>
      <c r="S626">
        <v>5</v>
      </c>
    </row>
    <row r="627" spans="1:19" x14ac:dyDescent="0.25">
      <c r="A627">
        <v>5</v>
      </c>
      <c r="D627">
        <v>5</v>
      </c>
      <c r="Q627">
        <v>5</v>
      </c>
      <c r="S627">
        <v>5</v>
      </c>
    </row>
    <row r="628" spans="1:19" x14ac:dyDescent="0.25">
      <c r="A628">
        <v>5</v>
      </c>
      <c r="D628">
        <v>5</v>
      </c>
      <c r="Q628">
        <v>5</v>
      </c>
      <c r="S628">
        <v>4</v>
      </c>
    </row>
    <row r="629" spans="1:19" x14ac:dyDescent="0.25">
      <c r="A629">
        <v>5</v>
      </c>
      <c r="D629">
        <v>5</v>
      </c>
      <c r="Q629">
        <v>5</v>
      </c>
      <c r="S629">
        <v>4</v>
      </c>
    </row>
    <row r="630" spans="1:19" x14ac:dyDescent="0.25">
      <c r="A630">
        <v>5.75</v>
      </c>
      <c r="D630">
        <v>10</v>
      </c>
      <c r="Q630">
        <v>3</v>
      </c>
      <c r="S630">
        <v>5</v>
      </c>
    </row>
    <row r="631" spans="1:19" x14ac:dyDescent="0.25">
      <c r="A631">
        <v>5.75</v>
      </c>
      <c r="D631">
        <v>5</v>
      </c>
      <c r="Q631">
        <v>5</v>
      </c>
      <c r="S631">
        <v>5</v>
      </c>
    </row>
    <row r="632" spans="1:19" x14ac:dyDescent="0.25">
      <c r="A632">
        <v>3</v>
      </c>
      <c r="D632">
        <v>2.25</v>
      </c>
      <c r="Q632">
        <v>5</v>
      </c>
      <c r="S632">
        <v>5</v>
      </c>
    </row>
    <row r="633" spans="1:19" x14ac:dyDescent="0.25">
      <c r="A633">
        <v>3.5</v>
      </c>
      <c r="D633">
        <v>5</v>
      </c>
      <c r="Q633">
        <v>8</v>
      </c>
      <c r="S633">
        <v>5</v>
      </c>
    </row>
    <row r="634" spans="1:19" x14ac:dyDescent="0.25">
      <c r="A634">
        <v>0.25</v>
      </c>
      <c r="D634">
        <v>8.25</v>
      </c>
      <c r="Q634">
        <v>4.5</v>
      </c>
      <c r="S634">
        <v>5</v>
      </c>
    </row>
    <row r="635" spans="1:19" x14ac:dyDescent="0.25">
      <c r="A635">
        <v>5</v>
      </c>
      <c r="D635">
        <v>5</v>
      </c>
      <c r="Q635">
        <v>4.25</v>
      </c>
      <c r="S635">
        <v>7</v>
      </c>
    </row>
    <row r="636" spans="1:19" x14ac:dyDescent="0.25">
      <c r="A636">
        <v>3</v>
      </c>
      <c r="D636">
        <v>4</v>
      </c>
      <c r="Q636">
        <v>1</v>
      </c>
      <c r="S636">
        <v>5</v>
      </c>
    </row>
    <row r="637" spans="1:19" x14ac:dyDescent="0.25">
      <c r="A637">
        <v>5</v>
      </c>
      <c r="D637">
        <v>5</v>
      </c>
      <c r="Q637">
        <v>5</v>
      </c>
      <c r="S637">
        <v>4.75</v>
      </c>
    </row>
    <row r="638" spans="1:19" x14ac:dyDescent="0.25">
      <c r="A638">
        <v>5</v>
      </c>
      <c r="D638">
        <v>7</v>
      </c>
      <c r="Q638">
        <v>5</v>
      </c>
      <c r="S638">
        <v>5</v>
      </c>
    </row>
    <row r="639" spans="1:19" x14ac:dyDescent="0.25">
      <c r="A639">
        <v>10</v>
      </c>
      <c r="D639">
        <v>5.25</v>
      </c>
      <c r="Q639">
        <v>5.25</v>
      </c>
      <c r="S639">
        <v>5</v>
      </c>
    </row>
    <row r="640" spans="1:19" x14ac:dyDescent="0.25">
      <c r="A640">
        <v>5</v>
      </c>
      <c r="D640">
        <v>10</v>
      </c>
      <c r="Q640">
        <v>6.5</v>
      </c>
      <c r="S640">
        <v>5</v>
      </c>
    </row>
    <row r="641" spans="1:19" x14ac:dyDescent="0.25">
      <c r="A641">
        <v>5</v>
      </c>
      <c r="D641">
        <v>7.5</v>
      </c>
      <c r="Q641">
        <v>5</v>
      </c>
      <c r="S641">
        <v>5</v>
      </c>
    </row>
    <row r="642" spans="1:19" x14ac:dyDescent="0.25">
      <c r="A642">
        <v>3</v>
      </c>
      <c r="D642">
        <v>5</v>
      </c>
      <c r="Q642">
        <v>4</v>
      </c>
      <c r="S642">
        <v>4</v>
      </c>
    </row>
    <row r="643" spans="1:19" x14ac:dyDescent="0.25">
      <c r="A643">
        <v>5</v>
      </c>
      <c r="D643">
        <v>6.25</v>
      </c>
      <c r="Q643">
        <v>5</v>
      </c>
      <c r="S643">
        <v>5</v>
      </c>
    </row>
    <row r="644" spans="1:19" x14ac:dyDescent="0.25">
      <c r="A644">
        <v>5</v>
      </c>
      <c r="D644">
        <v>5</v>
      </c>
      <c r="Q644">
        <v>5</v>
      </c>
      <c r="S644">
        <v>3.75</v>
      </c>
    </row>
    <row r="645" spans="1:19" x14ac:dyDescent="0.25">
      <c r="A645">
        <v>5</v>
      </c>
      <c r="D645">
        <v>5</v>
      </c>
      <c r="Q645">
        <v>3.75</v>
      </c>
      <c r="S645">
        <v>1</v>
      </c>
    </row>
    <row r="646" spans="1:19" x14ac:dyDescent="0.25">
      <c r="A646">
        <v>5.25</v>
      </c>
      <c r="D646">
        <v>5</v>
      </c>
      <c r="Q646">
        <v>5</v>
      </c>
      <c r="S646">
        <v>4</v>
      </c>
    </row>
    <row r="647" spans="1:19" x14ac:dyDescent="0.25">
      <c r="A647">
        <v>5</v>
      </c>
      <c r="D647">
        <v>5</v>
      </c>
      <c r="Q647">
        <v>5</v>
      </c>
      <c r="S647">
        <v>5</v>
      </c>
    </row>
    <row r="648" spans="1:19" x14ac:dyDescent="0.25">
      <c r="A648">
        <v>5</v>
      </c>
      <c r="D648">
        <v>4</v>
      </c>
      <c r="Q648">
        <v>5</v>
      </c>
      <c r="S648">
        <v>4.25</v>
      </c>
    </row>
    <row r="649" spans="1:19" x14ac:dyDescent="0.25">
      <c r="A649">
        <v>5</v>
      </c>
      <c r="D649">
        <v>5</v>
      </c>
      <c r="Q649">
        <v>5</v>
      </c>
      <c r="S649">
        <v>6</v>
      </c>
    </row>
    <row r="650" spans="1:19" x14ac:dyDescent="0.25">
      <c r="A650">
        <v>5</v>
      </c>
      <c r="D650">
        <v>5</v>
      </c>
      <c r="Q650">
        <v>4.25</v>
      </c>
      <c r="S650">
        <v>3</v>
      </c>
    </row>
    <row r="651" spans="1:19" x14ac:dyDescent="0.25">
      <c r="A651">
        <v>5</v>
      </c>
      <c r="D651">
        <v>9</v>
      </c>
      <c r="Q651">
        <v>5</v>
      </c>
      <c r="S651">
        <v>7.5</v>
      </c>
    </row>
    <row r="652" spans="1:19" x14ac:dyDescent="0.25">
      <c r="A652">
        <v>4</v>
      </c>
      <c r="D652">
        <v>5</v>
      </c>
      <c r="Q652">
        <v>5</v>
      </c>
      <c r="S652">
        <v>5</v>
      </c>
    </row>
    <row r="653" spans="1:19" x14ac:dyDescent="0.25">
      <c r="A653">
        <v>3</v>
      </c>
      <c r="D653">
        <v>5</v>
      </c>
      <c r="Q653">
        <v>5</v>
      </c>
      <c r="S653">
        <v>5</v>
      </c>
    </row>
    <row r="654" spans="1:19" x14ac:dyDescent="0.25">
      <c r="A654">
        <v>5</v>
      </c>
      <c r="D654">
        <v>4</v>
      </c>
      <c r="Q654">
        <v>1.5</v>
      </c>
      <c r="S654">
        <v>10.5</v>
      </c>
    </row>
    <row r="655" spans="1:19" x14ac:dyDescent="0.25">
      <c r="A655">
        <v>10</v>
      </c>
      <c r="D655">
        <v>3.5</v>
      </c>
      <c r="Q655">
        <v>3.75</v>
      </c>
      <c r="S655">
        <v>8.625</v>
      </c>
    </row>
    <row r="656" spans="1:19" x14ac:dyDescent="0.25">
      <c r="A656">
        <v>5</v>
      </c>
      <c r="D656">
        <v>5</v>
      </c>
      <c r="Q656">
        <v>6.25</v>
      </c>
      <c r="S656">
        <v>5</v>
      </c>
    </row>
    <row r="657" spans="1:19" x14ac:dyDescent="0.25">
      <c r="A657">
        <v>3</v>
      </c>
      <c r="D657">
        <v>5</v>
      </c>
      <c r="Q657">
        <v>5</v>
      </c>
      <c r="S657">
        <v>0.75</v>
      </c>
    </row>
    <row r="658" spans="1:19" x14ac:dyDescent="0.25">
      <c r="A658">
        <v>5</v>
      </c>
      <c r="D658">
        <v>2</v>
      </c>
      <c r="Q658">
        <v>1.5</v>
      </c>
      <c r="S658">
        <v>5</v>
      </c>
    </row>
    <row r="659" spans="1:19" x14ac:dyDescent="0.25">
      <c r="A659">
        <v>6</v>
      </c>
      <c r="D659">
        <v>2.25</v>
      </c>
      <c r="Q659">
        <v>5</v>
      </c>
      <c r="S659">
        <v>0.75</v>
      </c>
    </row>
    <row r="660" spans="1:19" x14ac:dyDescent="0.25">
      <c r="A660">
        <v>4.25</v>
      </c>
      <c r="D660">
        <v>1.5</v>
      </c>
      <c r="Q660">
        <v>9</v>
      </c>
      <c r="S660">
        <v>4.5</v>
      </c>
    </row>
    <row r="661" spans="1:19" x14ac:dyDescent="0.25">
      <c r="A661">
        <v>3.5</v>
      </c>
      <c r="D661">
        <v>4.5</v>
      </c>
      <c r="Q661">
        <v>3</v>
      </c>
      <c r="S661">
        <v>2.25</v>
      </c>
    </row>
    <row r="662" spans="1:19" x14ac:dyDescent="0.25">
      <c r="A662">
        <v>5</v>
      </c>
      <c r="D662">
        <v>3.5</v>
      </c>
      <c r="Q662">
        <v>4.75</v>
      </c>
      <c r="S662">
        <v>0.5</v>
      </c>
    </row>
    <row r="663" spans="1:19" x14ac:dyDescent="0.25">
      <c r="A663">
        <v>5</v>
      </c>
      <c r="D663">
        <v>2.5</v>
      </c>
      <c r="Q663">
        <v>2.5</v>
      </c>
      <c r="S663">
        <v>4</v>
      </c>
    </row>
    <row r="664" spans="1:19" x14ac:dyDescent="0.25">
      <c r="A664">
        <v>5</v>
      </c>
      <c r="D664">
        <v>7.75</v>
      </c>
      <c r="Q664">
        <v>5</v>
      </c>
      <c r="S664">
        <v>5</v>
      </c>
    </row>
    <row r="665" spans="1:19" x14ac:dyDescent="0.25">
      <c r="A665">
        <v>3</v>
      </c>
      <c r="D665">
        <v>5</v>
      </c>
      <c r="Q665">
        <v>5</v>
      </c>
      <c r="S665">
        <v>1.5</v>
      </c>
    </row>
    <row r="666" spans="1:19" x14ac:dyDescent="0.25">
      <c r="A666">
        <v>5</v>
      </c>
      <c r="D666">
        <v>8</v>
      </c>
      <c r="Q666">
        <v>5</v>
      </c>
      <c r="S666">
        <v>3.5</v>
      </c>
    </row>
    <row r="667" spans="1:19" x14ac:dyDescent="0.25">
      <c r="A667">
        <v>5</v>
      </c>
      <c r="D667">
        <v>5</v>
      </c>
      <c r="Q667">
        <v>4.5</v>
      </c>
      <c r="S667">
        <v>3.25</v>
      </c>
    </row>
    <row r="668" spans="1:19" x14ac:dyDescent="0.25">
      <c r="A668">
        <v>5</v>
      </c>
      <c r="D668">
        <v>7</v>
      </c>
      <c r="Q668">
        <v>5</v>
      </c>
      <c r="S668">
        <v>7.5</v>
      </c>
    </row>
    <row r="669" spans="1:19" x14ac:dyDescent="0.25">
      <c r="A669">
        <v>7.5</v>
      </c>
      <c r="D669">
        <v>5</v>
      </c>
      <c r="Q669">
        <v>5</v>
      </c>
      <c r="S669">
        <v>7.5</v>
      </c>
    </row>
    <row r="670" spans="1:19" x14ac:dyDescent="0.25">
      <c r="A670">
        <v>5</v>
      </c>
      <c r="D670">
        <v>2.5</v>
      </c>
      <c r="Q670">
        <v>5</v>
      </c>
      <c r="S670">
        <v>7.5</v>
      </c>
    </row>
    <row r="671" spans="1:19" x14ac:dyDescent="0.25">
      <c r="A671">
        <v>5</v>
      </c>
      <c r="D671">
        <v>4</v>
      </c>
      <c r="Q671">
        <v>6.5</v>
      </c>
      <c r="S671">
        <v>5</v>
      </c>
    </row>
    <row r="672" spans="1:19" x14ac:dyDescent="0.25">
      <c r="A672">
        <v>5</v>
      </c>
      <c r="D672">
        <v>5</v>
      </c>
      <c r="Q672">
        <v>5</v>
      </c>
      <c r="S672">
        <v>5</v>
      </c>
    </row>
    <row r="673" spans="1:19" x14ac:dyDescent="0.25">
      <c r="A673">
        <v>3</v>
      </c>
      <c r="D673">
        <v>9</v>
      </c>
      <c r="Q673">
        <v>4</v>
      </c>
      <c r="S673">
        <v>7.5</v>
      </c>
    </row>
    <row r="674" spans="1:19" x14ac:dyDescent="0.25">
      <c r="A674">
        <v>5</v>
      </c>
      <c r="D674">
        <v>10</v>
      </c>
      <c r="Q674">
        <v>1</v>
      </c>
      <c r="S674">
        <v>1.875</v>
      </c>
    </row>
    <row r="675" spans="1:19" x14ac:dyDescent="0.25">
      <c r="A675">
        <v>3</v>
      </c>
      <c r="D675">
        <v>5</v>
      </c>
      <c r="Q675">
        <v>5</v>
      </c>
      <c r="S675">
        <v>7.5</v>
      </c>
    </row>
    <row r="676" spans="1:19" x14ac:dyDescent="0.25">
      <c r="A676">
        <v>5</v>
      </c>
      <c r="D676">
        <v>6</v>
      </c>
      <c r="Q676">
        <v>5</v>
      </c>
      <c r="S676">
        <v>5</v>
      </c>
    </row>
    <row r="677" spans="1:19" x14ac:dyDescent="0.25">
      <c r="A677">
        <v>2</v>
      </c>
      <c r="D677">
        <v>5</v>
      </c>
      <c r="Q677">
        <v>1.25</v>
      </c>
      <c r="S677">
        <v>5</v>
      </c>
    </row>
    <row r="678" spans="1:19" x14ac:dyDescent="0.25">
      <c r="A678">
        <v>5</v>
      </c>
      <c r="D678">
        <v>5</v>
      </c>
      <c r="Q678">
        <v>6.75</v>
      </c>
      <c r="S678">
        <v>6.5</v>
      </c>
    </row>
    <row r="679" spans="1:19" x14ac:dyDescent="0.25">
      <c r="A679">
        <v>3.25</v>
      </c>
      <c r="D679">
        <v>1.75</v>
      </c>
      <c r="Q679">
        <v>2.25</v>
      </c>
      <c r="S679">
        <v>5</v>
      </c>
    </row>
    <row r="680" spans="1:19" x14ac:dyDescent="0.25">
      <c r="A680">
        <v>4</v>
      </c>
      <c r="D680">
        <v>4</v>
      </c>
      <c r="Q680">
        <v>5</v>
      </c>
      <c r="S680">
        <v>5</v>
      </c>
    </row>
    <row r="681" spans="1:19" x14ac:dyDescent="0.25">
      <c r="A681">
        <v>5</v>
      </c>
      <c r="D681">
        <v>5</v>
      </c>
      <c r="Q681">
        <v>5</v>
      </c>
      <c r="S681">
        <v>5</v>
      </c>
    </row>
    <row r="682" spans="1:19" x14ac:dyDescent="0.25">
      <c r="A682">
        <v>5</v>
      </c>
      <c r="D682">
        <v>3</v>
      </c>
      <c r="Q682">
        <v>5</v>
      </c>
      <c r="S682">
        <v>5</v>
      </c>
    </row>
    <row r="683" spans="1:19" x14ac:dyDescent="0.25">
      <c r="A683">
        <v>3</v>
      </c>
      <c r="D683">
        <v>5</v>
      </c>
      <c r="Q683">
        <v>5.25</v>
      </c>
      <c r="S683">
        <v>5</v>
      </c>
    </row>
    <row r="684" spans="1:19" x14ac:dyDescent="0.25">
      <c r="A684">
        <v>5.5</v>
      </c>
      <c r="D684">
        <v>5</v>
      </c>
      <c r="Q684">
        <v>7.5</v>
      </c>
      <c r="S684">
        <v>5</v>
      </c>
    </row>
    <row r="685" spans="1:19" x14ac:dyDescent="0.25">
      <c r="A685">
        <v>10</v>
      </c>
      <c r="D685">
        <v>5</v>
      </c>
      <c r="Q685">
        <v>1.5</v>
      </c>
      <c r="S685">
        <v>1.75</v>
      </c>
    </row>
    <row r="686" spans="1:19" x14ac:dyDescent="0.25">
      <c r="A686">
        <v>5</v>
      </c>
      <c r="D686">
        <v>5.25</v>
      </c>
      <c r="Q686">
        <v>4.5</v>
      </c>
      <c r="S686">
        <v>5.25</v>
      </c>
    </row>
    <row r="687" spans="1:19" x14ac:dyDescent="0.25">
      <c r="A687">
        <v>5</v>
      </c>
      <c r="D687">
        <v>2</v>
      </c>
      <c r="Q687">
        <v>4.5</v>
      </c>
      <c r="S687">
        <v>7.5</v>
      </c>
    </row>
    <row r="688" spans="1:19" x14ac:dyDescent="0.25">
      <c r="A688">
        <v>5</v>
      </c>
      <c r="D688">
        <v>5</v>
      </c>
      <c r="Q688">
        <v>4.5</v>
      </c>
      <c r="S688">
        <v>5</v>
      </c>
    </row>
    <row r="689" spans="1:19" x14ac:dyDescent="0.25">
      <c r="A689">
        <v>5.25</v>
      </c>
      <c r="D689">
        <v>5</v>
      </c>
      <c r="Q689">
        <v>6.375</v>
      </c>
      <c r="S689">
        <v>5</v>
      </c>
    </row>
    <row r="690" spans="1:19" x14ac:dyDescent="0.25">
      <c r="A690">
        <v>5</v>
      </c>
      <c r="D690">
        <v>1</v>
      </c>
      <c r="Q690">
        <v>5</v>
      </c>
      <c r="S690">
        <v>2</v>
      </c>
    </row>
    <row r="691" spans="1:19" x14ac:dyDescent="0.25">
      <c r="A691">
        <v>5</v>
      </c>
      <c r="D691">
        <v>1</v>
      </c>
      <c r="Q691">
        <v>4.25</v>
      </c>
      <c r="S691">
        <v>5</v>
      </c>
    </row>
    <row r="692" spans="1:19" x14ac:dyDescent="0.25">
      <c r="A692">
        <v>5</v>
      </c>
      <c r="D692">
        <v>5</v>
      </c>
      <c r="Q692">
        <v>5</v>
      </c>
      <c r="S692">
        <v>5.25</v>
      </c>
    </row>
    <row r="693" spans="1:19" x14ac:dyDescent="0.25">
      <c r="A693">
        <v>5</v>
      </c>
      <c r="D693">
        <v>5</v>
      </c>
      <c r="Q693">
        <v>3</v>
      </c>
      <c r="S693">
        <v>0.75</v>
      </c>
    </row>
    <row r="694" spans="1:19" x14ac:dyDescent="0.25">
      <c r="A694">
        <v>3</v>
      </c>
      <c r="D694">
        <v>5</v>
      </c>
      <c r="Q694">
        <v>4.75</v>
      </c>
      <c r="S694">
        <v>2.625</v>
      </c>
    </row>
    <row r="695" spans="1:19" x14ac:dyDescent="0.25">
      <c r="A695">
        <v>5</v>
      </c>
      <c r="D695">
        <v>0.5</v>
      </c>
      <c r="Q695">
        <v>6</v>
      </c>
      <c r="S695">
        <v>1.5</v>
      </c>
    </row>
    <row r="696" spans="1:19" x14ac:dyDescent="0.25">
      <c r="A696">
        <v>5.5</v>
      </c>
      <c r="D696">
        <v>5</v>
      </c>
      <c r="Q696">
        <v>5</v>
      </c>
      <c r="S696">
        <v>5</v>
      </c>
    </row>
    <row r="697" spans="1:19" x14ac:dyDescent="0.25">
      <c r="A697">
        <v>1.25</v>
      </c>
      <c r="D697">
        <v>5</v>
      </c>
      <c r="Q697">
        <v>5</v>
      </c>
      <c r="S697">
        <v>5</v>
      </c>
    </row>
    <row r="698" spans="1:19" x14ac:dyDescent="0.25">
      <c r="A698">
        <v>5</v>
      </c>
      <c r="D698">
        <v>5</v>
      </c>
      <c r="Q698">
        <v>6.375</v>
      </c>
      <c r="S698">
        <v>0.375</v>
      </c>
    </row>
    <row r="699" spans="1:19" x14ac:dyDescent="0.25">
      <c r="A699">
        <v>1</v>
      </c>
      <c r="D699">
        <v>5</v>
      </c>
      <c r="Q699">
        <v>1.5</v>
      </c>
      <c r="S699">
        <v>0.5</v>
      </c>
    </row>
    <row r="700" spans="1:19" x14ac:dyDescent="0.25">
      <c r="A700">
        <v>5</v>
      </c>
      <c r="D700">
        <v>5</v>
      </c>
      <c r="Q700">
        <v>3.25</v>
      </c>
      <c r="S700">
        <v>5</v>
      </c>
    </row>
    <row r="701" spans="1:19" x14ac:dyDescent="0.25">
      <c r="A701">
        <v>5</v>
      </c>
      <c r="D701">
        <v>9</v>
      </c>
      <c r="Q701">
        <v>5.25</v>
      </c>
      <c r="S701">
        <v>5</v>
      </c>
    </row>
    <row r="702" spans="1:19" x14ac:dyDescent="0.25">
      <c r="A702">
        <v>5</v>
      </c>
      <c r="D702">
        <v>5</v>
      </c>
      <c r="Q702">
        <v>0.5</v>
      </c>
      <c r="S702">
        <v>4</v>
      </c>
    </row>
    <row r="703" spans="1:19" x14ac:dyDescent="0.25">
      <c r="A703">
        <v>5</v>
      </c>
      <c r="D703">
        <v>5</v>
      </c>
      <c r="Q703">
        <v>1.125</v>
      </c>
      <c r="S703">
        <v>5.5</v>
      </c>
    </row>
    <row r="704" spans="1:19" x14ac:dyDescent="0.25">
      <c r="A704">
        <v>5</v>
      </c>
      <c r="D704">
        <v>3.5</v>
      </c>
      <c r="Q704">
        <v>4.25</v>
      </c>
      <c r="S704">
        <v>0.375</v>
      </c>
    </row>
    <row r="705" spans="1:19" x14ac:dyDescent="0.25">
      <c r="A705">
        <v>3.75</v>
      </c>
      <c r="D705">
        <v>5</v>
      </c>
      <c r="Q705">
        <v>1.5</v>
      </c>
      <c r="S705">
        <v>3.375</v>
      </c>
    </row>
    <row r="706" spans="1:19" x14ac:dyDescent="0.25">
      <c r="A706">
        <v>1.5</v>
      </c>
      <c r="D706">
        <v>4</v>
      </c>
      <c r="Q706">
        <v>3</v>
      </c>
      <c r="S706">
        <v>5</v>
      </c>
    </row>
    <row r="707" spans="1:19" x14ac:dyDescent="0.25">
      <c r="A707">
        <v>2.5</v>
      </c>
      <c r="D707">
        <v>5</v>
      </c>
      <c r="Q707">
        <v>7.5</v>
      </c>
      <c r="S707">
        <v>0.75</v>
      </c>
    </row>
    <row r="708" spans="1:19" x14ac:dyDescent="0.25">
      <c r="A708">
        <v>4.75</v>
      </c>
      <c r="D708">
        <v>5</v>
      </c>
      <c r="Q708">
        <v>13.5</v>
      </c>
      <c r="S708">
        <v>5</v>
      </c>
    </row>
    <row r="709" spans="1:19" x14ac:dyDescent="0.25">
      <c r="A709">
        <v>4</v>
      </c>
      <c r="D709">
        <v>5</v>
      </c>
      <c r="Q709">
        <v>5.75</v>
      </c>
      <c r="S709">
        <v>5</v>
      </c>
    </row>
    <row r="710" spans="1:19" x14ac:dyDescent="0.25">
      <c r="A710">
        <v>5</v>
      </c>
      <c r="D710">
        <v>5</v>
      </c>
      <c r="Q710">
        <v>3.75</v>
      </c>
      <c r="S710">
        <v>5</v>
      </c>
    </row>
    <row r="711" spans="1:19" x14ac:dyDescent="0.25">
      <c r="A711">
        <v>1</v>
      </c>
      <c r="D711">
        <v>5</v>
      </c>
      <c r="Q711">
        <v>1.25</v>
      </c>
      <c r="S711">
        <v>5.25</v>
      </c>
    </row>
    <row r="712" spans="1:19" x14ac:dyDescent="0.25">
      <c r="A712">
        <v>5</v>
      </c>
      <c r="D712">
        <v>8.25</v>
      </c>
      <c r="Q712">
        <v>5</v>
      </c>
      <c r="S712">
        <v>4.75</v>
      </c>
    </row>
    <row r="713" spans="1:19" x14ac:dyDescent="0.25">
      <c r="A713">
        <v>5.75</v>
      </c>
      <c r="D713">
        <v>5.75</v>
      </c>
      <c r="Q713">
        <v>5</v>
      </c>
      <c r="S713">
        <v>5</v>
      </c>
    </row>
    <row r="714" spans="1:19" x14ac:dyDescent="0.25">
      <c r="A714">
        <v>10</v>
      </c>
      <c r="D714">
        <v>5</v>
      </c>
      <c r="Q714">
        <v>5</v>
      </c>
      <c r="S714">
        <v>5</v>
      </c>
    </row>
    <row r="715" spans="1:19" x14ac:dyDescent="0.25">
      <c r="A715">
        <v>8.75</v>
      </c>
      <c r="D715">
        <v>5</v>
      </c>
      <c r="Q715">
        <v>4.75</v>
      </c>
      <c r="S715">
        <v>0.5</v>
      </c>
    </row>
    <row r="716" spans="1:19" x14ac:dyDescent="0.25">
      <c r="A716">
        <v>5</v>
      </c>
      <c r="D716">
        <v>5</v>
      </c>
      <c r="Q716">
        <v>5</v>
      </c>
      <c r="S716">
        <v>5</v>
      </c>
    </row>
    <row r="717" spans="1:19" x14ac:dyDescent="0.25">
      <c r="A717">
        <v>5</v>
      </c>
      <c r="D717">
        <v>10</v>
      </c>
      <c r="Q717">
        <v>5</v>
      </c>
      <c r="S717">
        <v>5</v>
      </c>
    </row>
    <row r="718" spans="1:19" x14ac:dyDescent="0.25">
      <c r="A718">
        <v>5.25</v>
      </c>
      <c r="D718">
        <v>5</v>
      </c>
      <c r="Q718">
        <v>5</v>
      </c>
      <c r="S718">
        <v>3</v>
      </c>
    </row>
    <row r="719" spans="1:19" x14ac:dyDescent="0.25">
      <c r="A719">
        <v>5.25</v>
      </c>
      <c r="D719">
        <v>10</v>
      </c>
      <c r="Q719">
        <v>1.75</v>
      </c>
      <c r="S719">
        <v>5</v>
      </c>
    </row>
    <row r="720" spans="1:19" x14ac:dyDescent="0.25">
      <c r="A720">
        <v>5</v>
      </c>
      <c r="D720">
        <v>5.25</v>
      </c>
      <c r="Q720">
        <v>6</v>
      </c>
      <c r="S720">
        <v>2</v>
      </c>
    </row>
    <row r="721" spans="1:19" x14ac:dyDescent="0.25">
      <c r="A721">
        <v>5</v>
      </c>
      <c r="D721">
        <v>5</v>
      </c>
      <c r="Q721">
        <v>3.5</v>
      </c>
      <c r="S721">
        <v>5</v>
      </c>
    </row>
    <row r="722" spans="1:19" x14ac:dyDescent="0.25">
      <c r="A722">
        <v>5</v>
      </c>
      <c r="D722">
        <v>2</v>
      </c>
      <c r="Q722">
        <v>5</v>
      </c>
      <c r="S722">
        <v>7.125</v>
      </c>
    </row>
    <row r="723" spans="1:19" x14ac:dyDescent="0.25">
      <c r="A723">
        <v>10</v>
      </c>
      <c r="D723">
        <v>5</v>
      </c>
      <c r="Q723">
        <v>5</v>
      </c>
      <c r="S723">
        <v>5</v>
      </c>
    </row>
    <row r="724" spans="1:19" x14ac:dyDescent="0.25">
      <c r="A724">
        <v>5</v>
      </c>
      <c r="D724">
        <v>1</v>
      </c>
      <c r="Q724">
        <v>5.25</v>
      </c>
      <c r="S724">
        <v>1.125</v>
      </c>
    </row>
    <row r="725" spans="1:19" x14ac:dyDescent="0.25">
      <c r="A725">
        <v>5</v>
      </c>
      <c r="D725">
        <v>5</v>
      </c>
      <c r="Q725">
        <v>3.75</v>
      </c>
      <c r="S725">
        <v>7.5</v>
      </c>
    </row>
    <row r="726" spans="1:19" x14ac:dyDescent="0.25">
      <c r="A726">
        <v>5</v>
      </c>
      <c r="D726">
        <v>5</v>
      </c>
      <c r="Q726">
        <v>5</v>
      </c>
      <c r="S726">
        <v>9.75</v>
      </c>
    </row>
    <row r="727" spans="1:19" x14ac:dyDescent="0.25">
      <c r="A727">
        <v>4</v>
      </c>
      <c r="D727">
        <v>5</v>
      </c>
      <c r="Q727">
        <v>3.75</v>
      </c>
      <c r="S727">
        <v>5</v>
      </c>
    </row>
    <row r="728" spans="1:19" x14ac:dyDescent="0.25">
      <c r="A728">
        <v>4</v>
      </c>
      <c r="D728">
        <v>5</v>
      </c>
      <c r="Q728">
        <v>5</v>
      </c>
      <c r="S728">
        <v>10.875</v>
      </c>
    </row>
    <row r="729" spans="1:19" x14ac:dyDescent="0.25">
      <c r="A729">
        <v>5</v>
      </c>
      <c r="D729">
        <v>9</v>
      </c>
      <c r="Q729">
        <v>4</v>
      </c>
      <c r="S729">
        <v>2.25</v>
      </c>
    </row>
    <row r="730" spans="1:19" x14ac:dyDescent="0.25">
      <c r="A730">
        <v>5</v>
      </c>
      <c r="D730">
        <v>5</v>
      </c>
      <c r="Q730">
        <v>4.875</v>
      </c>
      <c r="S730">
        <v>4</v>
      </c>
    </row>
    <row r="731" spans="1:19" x14ac:dyDescent="0.25">
      <c r="A731">
        <v>9.25</v>
      </c>
      <c r="D731">
        <v>4</v>
      </c>
      <c r="Q731">
        <v>5</v>
      </c>
      <c r="S731">
        <v>5.25</v>
      </c>
    </row>
    <row r="732" spans="1:19" x14ac:dyDescent="0.25">
      <c r="A732">
        <v>5</v>
      </c>
      <c r="D732">
        <v>5</v>
      </c>
      <c r="Q732">
        <v>4.5</v>
      </c>
      <c r="S732">
        <v>3.375</v>
      </c>
    </row>
    <row r="733" spans="1:19" x14ac:dyDescent="0.25">
      <c r="A733">
        <v>5</v>
      </c>
      <c r="D733">
        <v>5</v>
      </c>
      <c r="Q733">
        <v>5</v>
      </c>
      <c r="S733">
        <v>1.25</v>
      </c>
    </row>
    <row r="734" spans="1:19" x14ac:dyDescent="0.25">
      <c r="A734">
        <v>5</v>
      </c>
      <c r="D734">
        <v>4.25</v>
      </c>
      <c r="Q734">
        <v>3</v>
      </c>
      <c r="S734">
        <v>2.5</v>
      </c>
    </row>
    <row r="735" spans="1:19" x14ac:dyDescent="0.25">
      <c r="A735">
        <v>5</v>
      </c>
      <c r="D735">
        <v>9</v>
      </c>
      <c r="Q735">
        <v>5</v>
      </c>
      <c r="S735">
        <v>6.75</v>
      </c>
    </row>
    <row r="736" spans="1:19" x14ac:dyDescent="0.25">
      <c r="A736">
        <v>5</v>
      </c>
      <c r="D736">
        <v>5</v>
      </c>
      <c r="Q736">
        <v>2.5</v>
      </c>
      <c r="S736">
        <v>7.5</v>
      </c>
    </row>
    <row r="737" spans="1:19" x14ac:dyDescent="0.25">
      <c r="A737">
        <v>5</v>
      </c>
      <c r="D737">
        <v>4.5</v>
      </c>
      <c r="Q737">
        <v>5.25</v>
      </c>
      <c r="S737">
        <v>6</v>
      </c>
    </row>
    <row r="738" spans="1:19" x14ac:dyDescent="0.25">
      <c r="A738">
        <v>5</v>
      </c>
      <c r="D738">
        <v>5</v>
      </c>
      <c r="Q738">
        <v>7.5</v>
      </c>
      <c r="S738">
        <v>5</v>
      </c>
    </row>
    <row r="739" spans="1:19" x14ac:dyDescent="0.25">
      <c r="A739">
        <v>4.25</v>
      </c>
      <c r="D739">
        <v>5</v>
      </c>
      <c r="Q739">
        <v>12.375</v>
      </c>
      <c r="S739">
        <v>2</v>
      </c>
    </row>
    <row r="740" spans="1:19" x14ac:dyDescent="0.25">
      <c r="A740">
        <v>5</v>
      </c>
      <c r="D740">
        <v>5</v>
      </c>
      <c r="Q740">
        <v>8.25</v>
      </c>
      <c r="S740">
        <v>7.5</v>
      </c>
    </row>
    <row r="741" spans="1:19" x14ac:dyDescent="0.25">
      <c r="A741">
        <v>5</v>
      </c>
      <c r="D741">
        <v>5</v>
      </c>
      <c r="Q741">
        <v>7.5</v>
      </c>
      <c r="S741">
        <v>5.25</v>
      </c>
    </row>
    <row r="742" spans="1:19" x14ac:dyDescent="0.25">
      <c r="A742">
        <v>5</v>
      </c>
      <c r="D742">
        <v>2.5</v>
      </c>
      <c r="Q742">
        <v>7.5</v>
      </c>
      <c r="S742">
        <v>3.25</v>
      </c>
    </row>
    <row r="743" spans="1:19" x14ac:dyDescent="0.25">
      <c r="A743">
        <v>5.25</v>
      </c>
      <c r="D743">
        <v>5</v>
      </c>
      <c r="Q743">
        <v>8.25</v>
      </c>
      <c r="S743">
        <v>6</v>
      </c>
    </row>
    <row r="744" spans="1:19" x14ac:dyDescent="0.25">
      <c r="A744">
        <v>5</v>
      </c>
      <c r="D744">
        <v>4.75</v>
      </c>
      <c r="Q744">
        <v>7.5</v>
      </c>
      <c r="S744">
        <v>6.75</v>
      </c>
    </row>
    <row r="745" spans="1:19" x14ac:dyDescent="0.25">
      <c r="A745">
        <v>4</v>
      </c>
      <c r="D745">
        <v>1.25</v>
      </c>
      <c r="Q745">
        <v>7.5</v>
      </c>
      <c r="S745">
        <v>7.5</v>
      </c>
    </row>
    <row r="746" spans="1:19" x14ac:dyDescent="0.25">
      <c r="A746">
        <v>5</v>
      </c>
      <c r="D746">
        <v>10</v>
      </c>
      <c r="Q746">
        <v>7.125</v>
      </c>
      <c r="S746">
        <v>5.25</v>
      </c>
    </row>
    <row r="747" spans="1:19" x14ac:dyDescent="0.25">
      <c r="A747">
        <v>5</v>
      </c>
      <c r="D747">
        <v>5</v>
      </c>
      <c r="Q747">
        <v>5</v>
      </c>
      <c r="S747">
        <v>5</v>
      </c>
    </row>
    <row r="748" spans="1:19" x14ac:dyDescent="0.25">
      <c r="A748">
        <v>5</v>
      </c>
      <c r="D748">
        <v>5</v>
      </c>
      <c r="Q748">
        <v>7.5</v>
      </c>
      <c r="S748">
        <v>4</v>
      </c>
    </row>
    <row r="749" spans="1:19" x14ac:dyDescent="0.25">
      <c r="A749">
        <v>5</v>
      </c>
      <c r="D749">
        <v>5</v>
      </c>
      <c r="Q749">
        <v>8.25</v>
      </c>
      <c r="S749">
        <v>1</v>
      </c>
    </row>
    <row r="750" spans="1:19" x14ac:dyDescent="0.25">
      <c r="A750">
        <v>3</v>
      </c>
      <c r="D750">
        <v>5</v>
      </c>
      <c r="Q750">
        <v>7.5</v>
      </c>
      <c r="S750">
        <v>2.625</v>
      </c>
    </row>
    <row r="751" spans="1:19" x14ac:dyDescent="0.25">
      <c r="A751">
        <v>5</v>
      </c>
      <c r="D751">
        <v>3.5</v>
      </c>
      <c r="Q751">
        <v>7.5</v>
      </c>
      <c r="S751">
        <v>6</v>
      </c>
    </row>
    <row r="752" spans="1:19" x14ac:dyDescent="0.25">
      <c r="A752">
        <v>3</v>
      </c>
      <c r="D752">
        <v>2</v>
      </c>
      <c r="Q752">
        <v>7.5</v>
      </c>
      <c r="S752">
        <v>5</v>
      </c>
    </row>
    <row r="753" spans="1:19" x14ac:dyDescent="0.25">
      <c r="A753">
        <v>5.5</v>
      </c>
      <c r="D753">
        <v>5</v>
      </c>
      <c r="Q753">
        <v>7.5</v>
      </c>
      <c r="S753">
        <v>7.5</v>
      </c>
    </row>
    <row r="754" spans="1:19" x14ac:dyDescent="0.25">
      <c r="A754">
        <v>5</v>
      </c>
      <c r="D754">
        <v>7.25</v>
      </c>
      <c r="Q754">
        <v>7.5</v>
      </c>
      <c r="S754">
        <v>1.875</v>
      </c>
    </row>
    <row r="755" spans="1:19" x14ac:dyDescent="0.25">
      <c r="A755">
        <v>2.25</v>
      </c>
      <c r="D755">
        <v>5</v>
      </c>
      <c r="Q755">
        <v>7.5</v>
      </c>
      <c r="S755">
        <v>2.25</v>
      </c>
    </row>
    <row r="756" spans="1:19" x14ac:dyDescent="0.25">
      <c r="A756">
        <v>1.25</v>
      </c>
      <c r="D756">
        <v>10</v>
      </c>
      <c r="Q756">
        <v>3.5</v>
      </c>
      <c r="S756">
        <v>7.5</v>
      </c>
    </row>
    <row r="757" spans="1:19" x14ac:dyDescent="0.25">
      <c r="A757">
        <v>10</v>
      </c>
      <c r="D757">
        <v>6.5</v>
      </c>
      <c r="Q757">
        <v>7.5</v>
      </c>
      <c r="S757">
        <v>7.5</v>
      </c>
    </row>
    <row r="758" spans="1:19" x14ac:dyDescent="0.25">
      <c r="A758">
        <v>5</v>
      </c>
      <c r="D758">
        <v>5</v>
      </c>
      <c r="Q758">
        <v>7.5</v>
      </c>
      <c r="S758">
        <v>7.125</v>
      </c>
    </row>
    <row r="759" spans="1:19" x14ac:dyDescent="0.25">
      <c r="A759">
        <v>5.25</v>
      </c>
      <c r="D759">
        <v>6.5</v>
      </c>
      <c r="Q759">
        <v>7.5</v>
      </c>
      <c r="S759">
        <v>6</v>
      </c>
    </row>
    <row r="760" spans="1:19" x14ac:dyDescent="0.25">
      <c r="A760">
        <v>5</v>
      </c>
      <c r="D760">
        <v>5</v>
      </c>
      <c r="Q760">
        <v>7.5</v>
      </c>
      <c r="S760">
        <v>8.25</v>
      </c>
    </row>
    <row r="761" spans="1:19" x14ac:dyDescent="0.25">
      <c r="A761">
        <v>5</v>
      </c>
      <c r="D761">
        <v>10</v>
      </c>
      <c r="Q761">
        <v>7.5</v>
      </c>
      <c r="S761">
        <v>7.5</v>
      </c>
    </row>
    <row r="762" spans="1:19" x14ac:dyDescent="0.25">
      <c r="A762">
        <v>5.25</v>
      </c>
      <c r="D762">
        <v>5</v>
      </c>
      <c r="Q762">
        <v>5</v>
      </c>
      <c r="S762">
        <v>3.375</v>
      </c>
    </row>
    <row r="763" spans="1:19" x14ac:dyDescent="0.25">
      <c r="A763">
        <v>5</v>
      </c>
      <c r="D763">
        <v>2.5</v>
      </c>
      <c r="Q763">
        <v>7.5</v>
      </c>
      <c r="S763">
        <v>5</v>
      </c>
    </row>
    <row r="764" spans="1:19" x14ac:dyDescent="0.25">
      <c r="A764">
        <v>2.5</v>
      </c>
      <c r="D764">
        <v>7</v>
      </c>
      <c r="Q764">
        <v>6</v>
      </c>
      <c r="S764">
        <v>4</v>
      </c>
    </row>
    <row r="765" spans="1:19" x14ac:dyDescent="0.25">
      <c r="A765">
        <v>5</v>
      </c>
      <c r="D765">
        <v>10</v>
      </c>
      <c r="Q765">
        <v>9.375</v>
      </c>
      <c r="S765">
        <v>5</v>
      </c>
    </row>
    <row r="766" spans="1:19" x14ac:dyDescent="0.25">
      <c r="A766">
        <v>3.5</v>
      </c>
      <c r="D766">
        <v>5</v>
      </c>
      <c r="Q766">
        <v>3</v>
      </c>
      <c r="S766">
        <v>2.25</v>
      </c>
    </row>
    <row r="767" spans="1:19" x14ac:dyDescent="0.25">
      <c r="A767">
        <v>4.5</v>
      </c>
      <c r="D767">
        <v>5</v>
      </c>
      <c r="Q767">
        <v>7.5</v>
      </c>
      <c r="S767">
        <v>5</v>
      </c>
    </row>
    <row r="768" spans="1:19" x14ac:dyDescent="0.25">
      <c r="A768">
        <v>5</v>
      </c>
      <c r="D768">
        <v>5</v>
      </c>
      <c r="Q768">
        <v>10.5</v>
      </c>
      <c r="S768">
        <v>2.25</v>
      </c>
    </row>
    <row r="769" spans="1:19" x14ac:dyDescent="0.25">
      <c r="A769">
        <v>5.25</v>
      </c>
      <c r="D769">
        <v>7</v>
      </c>
      <c r="Q769">
        <v>7.5</v>
      </c>
      <c r="S769">
        <v>5</v>
      </c>
    </row>
    <row r="770" spans="1:19" x14ac:dyDescent="0.25">
      <c r="A770">
        <v>5</v>
      </c>
      <c r="D770">
        <v>5</v>
      </c>
      <c r="Q770">
        <v>7.5</v>
      </c>
      <c r="S770">
        <v>5</v>
      </c>
    </row>
    <row r="771" spans="1:19" x14ac:dyDescent="0.25">
      <c r="A771">
        <v>3.25</v>
      </c>
      <c r="D771">
        <v>2</v>
      </c>
      <c r="Q771">
        <v>1.125</v>
      </c>
      <c r="S771">
        <v>5</v>
      </c>
    </row>
    <row r="772" spans="1:19" x14ac:dyDescent="0.25">
      <c r="A772">
        <v>5</v>
      </c>
      <c r="D772">
        <v>5</v>
      </c>
      <c r="Q772">
        <v>2.5</v>
      </c>
      <c r="S772">
        <v>5</v>
      </c>
    </row>
    <row r="773" spans="1:19" x14ac:dyDescent="0.25">
      <c r="A773">
        <v>5</v>
      </c>
      <c r="D773">
        <v>4.5</v>
      </c>
      <c r="Q773">
        <v>7.5</v>
      </c>
      <c r="S773">
        <v>5</v>
      </c>
    </row>
    <row r="774" spans="1:19" x14ac:dyDescent="0.25">
      <c r="A774">
        <v>5</v>
      </c>
      <c r="D774">
        <v>2</v>
      </c>
      <c r="Q774">
        <v>5.625</v>
      </c>
      <c r="S774">
        <v>3.25</v>
      </c>
    </row>
    <row r="775" spans="1:19" x14ac:dyDescent="0.25">
      <c r="A775">
        <v>3</v>
      </c>
      <c r="D775">
        <v>5</v>
      </c>
      <c r="Q775">
        <v>2.75</v>
      </c>
    </row>
    <row r="776" spans="1:19" x14ac:dyDescent="0.25">
      <c r="A776">
        <v>5</v>
      </c>
      <c r="D776">
        <v>9.75</v>
      </c>
      <c r="Q776">
        <v>6</v>
      </c>
    </row>
    <row r="777" spans="1:19" x14ac:dyDescent="0.25">
      <c r="A777">
        <v>5</v>
      </c>
      <c r="D777">
        <v>5.5</v>
      </c>
      <c r="Q777">
        <v>5</v>
      </c>
    </row>
    <row r="778" spans="1:19" x14ac:dyDescent="0.25">
      <c r="A778">
        <v>5</v>
      </c>
      <c r="D778">
        <v>5</v>
      </c>
      <c r="Q778">
        <v>7.5</v>
      </c>
    </row>
    <row r="779" spans="1:19" x14ac:dyDescent="0.25">
      <c r="A779">
        <v>3</v>
      </c>
      <c r="D779">
        <v>7.25</v>
      </c>
      <c r="Q779">
        <v>7.125</v>
      </c>
    </row>
    <row r="780" spans="1:19" x14ac:dyDescent="0.25">
      <c r="A780">
        <v>9</v>
      </c>
      <c r="D780">
        <v>5</v>
      </c>
      <c r="Q780">
        <v>5</v>
      </c>
    </row>
    <row r="781" spans="1:19" x14ac:dyDescent="0.25">
      <c r="A781">
        <v>1</v>
      </c>
      <c r="D781">
        <v>5</v>
      </c>
      <c r="Q781">
        <v>3.75</v>
      </c>
    </row>
    <row r="782" spans="1:19" x14ac:dyDescent="0.25">
      <c r="A782">
        <v>5</v>
      </c>
      <c r="D782">
        <v>5</v>
      </c>
      <c r="Q782">
        <v>7.875</v>
      </c>
    </row>
    <row r="783" spans="1:19" x14ac:dyDescent="0.25">
      <c r="A783">
        <v>5</v>
      </c>
      <c r="D783">
        <v>3.25</v>
      </c>
      <c r="Q783">
        <v>0.75</v>
      </c>
    </row>
    <row r="784" spans="1:19" x14ac:dyDescent="0.25">
      <c r="A784">
        <v>4</v>
      </c>
      <c r="D784">
        <v>5.5</v>
      </c>
      <c r="Q784">
        <v>11.625</v>
      </c>
    </row>
    <row r="785" spans="1:17" x14ac:dyDescent="0.25">
      <c r="A785">
        <v>3.5</v>
      </c>
      <c r="D785">
        <v>2.5</v>
      </c>
      <c r="Q785">
        <v>7.5</v>
      </c>
    </row>
    <row r="786" spans="1:17" x14ac:dyDescent="0.25">
      <c r="A786">
        <v>5</v>
      </c>
      <c r="D786">
        <v>5</v>
      </c>
      <c r="Q786">
        <v>6</v>
      </c>
    </row>
    <row r="787" spans="1:17" x14ac:dyDescent="0.25">
      <c r="A787">
        <v>5</v>
      </c>
      <c r="D787">
        <v>7</v>
      </c>
      <c r="Q787">
        <v>6</v>
      </c>
    </row>
    <row r="788" spans="1:17" x14ac:dyDescent="0.25">
      <c r="A788">
        <v>5</v>
      </c>
      <c r="D788">
        <v>5</v>
      </c>
      <c r="Q788">
        <v>7.5</v>
      </c>
    </row>
    <row r="789" spans="1:17" x14ac:dyDescent="0.25">
      <c r="A789">
        <v>5</v>
      </c>
      <c r="D789">
        <v>0.5</v>
      </c>
      <c r="Q789">
        <v>9.375</v>
      </c>
    </row>
    <row r="790" spans="1:17" x14ac:dyDescent="0.25">
      <c r="A790">
        <v>5</v>
      </c>
      <c r="D790">
        <v>5</v>
      </c>
      <c r="Q790">
        <v>3.25</v>
      </c>
    </row>
    <row r="791" spans="1:17" x14ac:dyDescent="0.25">
      <c r="A791">
        <v>3.5</v>
      </c>
      <c r="D791">
        <v>5</v>
      </c>
      <c r="Q791">
        <v>1.75</v>
      </c>
    </row>
    <row r="792" spans="1:17" x14ac:dyDescent="0.25">
      <c r="A792">
        <v>5</v>
      </c>
      <c r="D792">
        <v>10</v>
      </c>
      <c r="Q792">
        <v>7.5</v>
      </c>
    </row>
    <row r="793" spans="1:17" x14ac:dyDescent="0.25">
      <c r="A793">
        <v>5</v>
      </c>
      <c r="D793">
        <v>7</v>
      </c>
      <c r="Q793">
        <v>1.5</v>
      </c>
    </row>
    <row r="794" spans="1:17" x14ac:dyDescent="0.25">
      <c r="A794">
        <v>5</v>
      </c>
      <c r="D794">
        <v>5</v>
      </c>
      <c r="Q794">
        <v>6</v>
      </c>
    </row>
    <row r="795" spans="1:17" x14ac:dyDescent="0.25">
      <c r="A795">
        <v>5.25</v>
      </c>
      <c r="D795">
        <v>5</v>
      </c>
      <c r="Q795">
        <v>5</v>
      </c>
    </row>
    <row r="796" spans="1:17" x14ac:dyDescent="0.25">
      <c r="A796">
        <v>5</v>
      </c>
      <c r="D796">
        <v>5</v>
      </c>
      <c r="Q796">
        <v>3.25</v>
      </c>
    </row>
    <row r="797" spans="1:17" x14ac:dyDescent="0.25">
      <c r="A797">
        <v>5</v>
      </c>
      <c r="D797">
        <v>5</v>
      </c>
      <c r="Q797">
        <v>3</v>
      </c>
    </row>
    <row r="798" spans="1:17" x14ac:dyDescent="0.25">
      <c r="A798">
        <v>2.5</v>
      </c>
      <c r="D798">
        <v>4</v>
      </c>
      <c r="Q798">
        <v>9</v>
      </c>
    </row>
    <row r="799" spans="1:17" x14ac:dyDescent="0.25">
      <c r="A799">
        <v>4.5</v>
      </c>
      <c r="D799">
        <v>5</v>
      </c>
      <c r="Q799">
        <v>5</v>
      </c>
    </row>
    <row r="800" spans="1:17" x14ac:dyDescent="0.25">
      <c r="A800">
        <v>7.25</v>
      </c>
      <c r="D800">
        <v>5</v>
      </c>
      <c r="Q800">
        <v>0.375</v>
      </c>
    </row>
    <row r="801" spans="1:17" x14ac:dyDescent="0.25">
      <c r="A801">
        <v>10</v>
      </c>
      <c r="D801">
        <v>5</v>
      </c>
      <c r="Q801">
        <v>5</v>
      </c>
    </row>
    <row r="802" spans="1:17" x14ac:dyDescent="0.25">
      <c r="A802">
        <v>5.5</v>
      </c>
      <c r="D802">
        <v>5</v>
      </c>
      <c r="Q802">
        <v>3.25</v>
      </c>
    </row>
    <row r="803" spans="1:17" x14ac:dyDescent="0.25">
      <c r="A803">
        <v>5</v>
      </c>
      <c r="D803">
        <v>5</v>
      </c>
      <c r="Q803">
        <v>0.75</v>
      </c>
    </row>
    <row r="804" spans="1:17" x14ac:dyDescent="0.25">
      <c r="A804">
        <v>3.5</v>
      </c>
      <c r="D804">
        <v>4</v>
      </c>
      <c r="Q804">
        <v>7.5</v>
      </c>
    </row>
    <row r="805" spans="1:17" x14ac:dyDescent="0.25">
      <c r="A805">
        <v>5</v>
      </c>
      <c r="D805">
        <v>6.5</v>
      </c>
      <c r="Q805">
        <v>7.125</v>
      </c>
    </row>
    <row r="806" spans="1:17" x14ac:dyDescent="0.25">
      <c r="A806">
        <v>10</v>
      </c>
      <c r="D806">
        <v>4.75</v>
      </c>
      <c r="Q806">
        <v>6</v>
      </c>
    </row>
    <row r="807" spans="1:17" x14ac:dyDescent="0.25">
      <c r="A807">
        <v>5</v>
      </c>
      <c r="D807">
        <v>5</v>
      </c>
      <c r="Q807">
        <v>5</v>
      </c>
    </row>
    <row r="808" spans="1:17" x14ac:dyDescent="0.25">
      <c r="A808">
        <v>5</v>
      </c>
      <c r="D808">
        <v>3.5</v>
      </c>
      <c r="Q808">
        <v>2.75</v>
      </c>
    </row>
    <row r="809" spans="1:17" x14ac:dyDescent="0.25">
      <c r="A809">
        <v>5.25</v>
      </c>
      <c r="D809">
        <v>5</v>
      </c>
      <c r="Q809">
        <v>1.125</v>
      </c>
    </row>
    <row r="810" spans="1:17" x14ac:dyDescent="0.25">
      <c r="A810">
        <v>5</v>
      </c>
      <c r="D810">
        <v>5</v>
      </c>
      <c r="Q810">
        <v>3</v>
      </c>
    </row>
    <row r="811" spans="1:17" x14ac:dyDescent="0.25">
      <c r="A811">
        <v>5</v>
      </c>
      <c r="D811">
        <v>10</v>
      </c>
      <c r="Q811">
        <v>5</v>
      </c>
    </row>
    <row r="812" spans="1:17" x14ac:dyDescent="0.25">
      <c r="A812">
        <v>5</v>
      </c>
      <c r="D812">
        <v>5</v>
      </c>
      <c r="Q812">
        <v>7.5</v>
      </c>
    </row>
    <row r="813" spans="1:17" x14ac:dyDescent="0.25">
      <c r="A813">
        <v>5</v>
      </c>
      <c r="D813">
        <v>5</v>
      </c>
      <c r="Q813">
        <v>7.5</v>
      </c>
    </row>
    <row r="814" spans="1:17" x14ac:dyDescent="0.25">
      <c r="A814">
        <v>6.5</v>
      </c>
      <c r="D814">
        <v>5</v>
      </c>
      <c r="Q814">
        <v>2.25</v>
      </c>
    </row>
    <row r="815" spans="1:17" x14ac:dyDescent="0.25">
      <c r="A815">
        <v>5</v>
      </c>
      <c r="D815">
        <v>4</v>
      </c>
      <c r="Q815">
        <v>2.75</v>
      </c>
    </row>
    <row r="816" spans="1:17" x14ac:dyDescent="0.25">
      <c r="A816">
        <v>5</v>
      </c>
      <c r="D816">
        <v>5</v>
      </c>
      <c r="Q816">
        <v>4.875</v>
      </c>
    </row>
    <row r="817" spans="1:17" x14ac:dyDescent="0.25">
      <c r="A817">
        <v>4.75</v>
      </c>
      <c r="D817">
        <v>5</v>
      </c>
      <c r="Q817">
        <v>9.75</v>
      </c>
    </row>
    <row r="818" spans="1:17" x14ac:dyDescent="0.25">
      <c r="A818">
        <v>5</v>
      </c>
      <c r="D818">
        <v>5</v>
      </c>
      <c r="Q818">
        <v>5.25</v>
      </c>
    </row>
    <row r="819" spans="1:17" x14ac:dyDescent="0.25">
      <c r="A819">
        <v>5</v>
      </c>
      <c r="D819">
        <v>5</v>
      </c>
      <c r="Q819">
        <v>1.5</v>
      </c>
    </row>
    <row r="820" spans="1:17" x14ac:dyDescent="0.25">
      <c r="A820">
        <v>5.25</v>
      </c>
      <c r="D820">
        <v>4</v>
      </c>
      <c r="Q820">
        <v>5</v>
      </c>
    </row>
    <row r="821" spans="1:17" x14ac:dyDescent="0.25">
      <c r="A821">
        <v>10</v>
      </c>
      <c r="D821">
        <v>1</v>
      </c>
      <c r="Q821">
        <v>7.5</v>
      </c>
    </row>
    <row r="822" spans="1:17" x14ac:dyDescent="0.25">
      <c r="A822">
        <v>5</v>
      </c>
      <c r="D822">
        <v>5</v>
      </c>
      <c r="Q822">
        <v>4</v>
      </c>
    </row>
    <row r="823" spans="1:17" x14ac:dyDescent="0.25">
      <c r="A823">
        <v>10</v>
      </c>
      <c r="D823">
        <v>5</v>
      </c>
      <c r="Q823">
        <v>5</v>
      </c>
    </row>
    <row r="824" spans="1:17" x14ac:dyDescent="0.25">
      <c r="A824">
        <v>3</v>
      </c>
      <c r="D824">
        <v>5</v>
      </c>
      <c r="Q824">
        <v>5</v>
      </c>
    </row>
    <row r="825" spans="1:17" x14ac:dyDescent="0.25">
      <c r="A825">
        <v>13</v>
      </c>
      <c r="D825">
        <v>7.25</v>
      </c>
      <c r="Q825">
        <v>5</v>
      </c>
    </row>
    <row r="826" spans="1:17" x14ac:dyDescent="0.25">
      <c r="A826">
        <v>8</v>
      </c>
      <c r="D826">
        <v>5</v>
      </c>
      <c r="Q826">
        <v>5</v>
      </c>
    </row>
    <row r="827" spans="1:17" x14ac:dyDescent="0.25">
      <c r="A827">
        <v>5</v>
      </c>
      <c r="D827">
        <v>7.25</v>
      </c>
      <c r="Q827">
        <v>5</v>
      </c>
    </row>
    <row r="828" spans="1:17" x14ac:dyDescent="0.25">
      <c r="A828">
        <v>1.5</v>
      </c>
      <c r="D828">
        <v>5</v>
      </c>
      <c r="Q828">
        <v>3</v>
      </c>
    </row>
    <row r="829" spans="1:17" x14ac:dyDescent="0.25">
      <c r="A829">
        <v>5</v>
      </c>
      <c r="D829">
        <v>5</v>
      </c>
      <c r="Q829">
        <v>5.5</v>
      </c>
    </row>
    <row r="830" spans="1:17" x14ac:dyDescent="0.25">
      <c r="A830">
        <v>5</v>
      </c>
      <c r="D830">
        <v>5</v>
      </c>
      <c r="Q830">
        <v>5</v>
      </c>
    </row>
    <row r="831" spans="1:17" x14ac:dyDescent="0.25">
      <c r="A831">
        <v>5</v>
      </c>
      <c r="D831">
        <v>7</v>
      </c>
      <c r="Q831">
        <v>2.25</v>
      </c>
    </row>
    <row r="832" spans="1:17" x14ac:dyDescent="0.25">
      <c r="A832">
        <v>5</v>
      </c>
      <c r="D832">
        <v>5</v>
      </c>
      <c r="Q832">
        <v>5</v>
      </c>
    </row>
    <row r="833" spans="1:17" x14ac:dyDescent="0.25">
      <c r="A833">
        <v>10</v>
      </c>
      <c r="D833">
        <v>2.5</v>
      </c>
      <c r="Q833">
        <v>5.25</v>
      </c>
    </row>
    <row r="834" spans="1:17" x14ac:dyDescent="0.25">
      <c r="A834">
        <v>2.75</v>
      </c>
      <c r="D834">
        <v>4</v>
      </c>
      <c r="Q834">
        <v>5</v>
      </c>
    </row>
    <row r="835" spans="1:17" x14ac:dyDescent="0.25">
      <c r="A835">
        <v>5</v>
      </c>
      <c r="D835">
        <v>9</v>
      </c>
      <c r="Q835">
        <v>5</v>
      </c>
    </row>
    <row r="836" spans="1:17" x14ac:dyDescent="0.25">
      <c r="A836">
        <v>2.25</v>
      </c>
      <c r="D836">
        <v>1</v>
      </c>
      <c r="Q836">
        <v>5.25</v>
      </c>
    </row>
    <row r="837" spans="1:17" x14ac:dyDescent="0.25">
      <c r="A837">
        <v>3</v>
      </c>
      <c r="D837">
        <v>5</v>
      </c>
      <c r="Q837">
        <v>5</v>
      </c>
    </row>
    <row r="838" spans="1:17" x14ac:dyDescent="0.25">
      <c r="A838">
        <v>5</v>
      </c>
      <c r="D838">
        <v>0.5</v>
      </c>
      <c r="Q838">
        <v>2.5</v>
      </c>
    </row>
    <row r="839" spans="1:17" x14ac:dyDescent="0.25">
      <c r="A839">
        <v>2.5</v>
      </c>
      <c r="D839">
        <v>1</v>
      </c>
      <c r="Q839">
        <v>5</v>
      </c>
    </row>
    <row r="840" spans="1:17" x14ac:dyDescent="0.25">
      <c r="A840">
        <v>3.5</v>
      </c>
      <c r="D840">
        <v>5</v>
      </c>
      <c r="Q840">
        <v>3.5</v>
      </c>
    </row>
    <row r="841" spans="1:17" x14ac:dyDescent="0.25">
      <c r="A841">
        <v>4</v>
      </c>
      <c r="D841">
        <v>6</v>
      </c>
      <c r="Q841">
        <v>4.5</v>
      </c>
    </row>
    <row r="842" spans="1:17" x14ac:dyDescent="0.25">
      <c r="A842">
        <v>10</v>
      </c>
      <c r="D842">
        <v>5</v>
      </c>
      <c r="Q842">
        <v>5</v>
      </c>
    </row>
    <row r="843" spans="1:17" x14ac:dyDescent="0.25">
      <c r="A843">
        <v>8.25</v>
      </c>
      <c r="D843">
        <v>5</v>
      </c>
      <c r="Q843">
        <v>5.25</v>
      </c>
    </row>
    <row r="844" spans="1:17" x14ac:dyDescent="0.25">
      <c r="A844">
        <v>5</v>
      </c>
      <c r="D844">
        <v>5</v>
      </c>
      <c r="Q844">
        <v>5</v>
      </c>
    </row>
    <row r="845" spans="1:17" x14ac:dyDescent="0.25">
      <c r="A845">
        <v>4</v>
      </c>
      <c r="D845">
        <v>5</v>
      </c>
      <c r="Q845">
        <v>3.25</v>
      </c>
    </row>
    <row r="846" spans="1:17" x14ac:dyDescent="0.25">
      <c r="A846">
        <v>4.75</v>
      </c>
      <c r="D846">
        <v>5</v>
      </c>
      <c r="Q846">
        <v>5</v>
      </c>
    </row>
    <row r="847" spans="1:17" x14ac:dyDescent="0.25">
      <c r="A847">
        <v>5</v>
      </c>
      <c r="D847">
        <v>2</v>
      </c>
      <c r="Q847">
        <v>5</v>
      </c>
    </row>
    <row r="848" spans="1:17" x14ac:dyDescent="0.25">
      <c r="A848">
        <v>4.25</v>
      </c>
      <c r="D848">
        <v>4.5</v>
      </c>
      <c r="Q848">
        <v>5</v>
      </c>
    </row>
    <row r="849" spans="1:17" x14ac:dyDescent="0.25">
      <c r="A849">
        <v>8</v>
      </c>
      <c r="D849">
        <v>2</v>
      </c>
      <c r="Q849">
        <v>3</v>
      </c>
    </row>
    <row r="850" spans="1:17" x14ac:dyDescent="0.25">
      <c r="A850">
        <v>5</v>
      </c>
      <c r="D850">
        <v>10</v>
      </c>
      <c r="Q850">
        <v>5</v>
      </c>
    </row>
    <row r="851" spans="1:17" x14ac:dyDescent="0.25">
      <c r="A851">
        <v>7</v>
      </c>
      <c r="D851">
        <v>1.25</v>
      </c>
      <c r="Q851">
        <v>5</v>
      </c>
    </row>
    <row r="852" spans="1:17" x14ac:dyDescent="0.25">
      <c r="A852">
        <v>5.25</v>
      </c>
      <c r="D852">
        <v>3.5</v>
      </c>
      <c r="Q852">
        <v>3</v>
      </c>
    </row>
    <row r="853" spans="1:17" x14ac:dyDescent="0.25">
      <c r="A853">
        <v>10</v>
      </c>
      <c r="D853">
        <v>5</v>
      </c>
      <c r="Q853">
        <v>5</v>
      </c>
    </row>
    <row r="854" spans="1:17" x14ac:dyDescent="0.25">
      <c r="A854">
        <v>7.5</v>
      </c>
      <c r="D854">
        <v>10</v>
      </c>
      <c r="Q854">
        <v>3.5</v>
      </c>
    </row>
    <row r="855" spans="1:17" x14ac:dyDescent="0.25">
      <c r="A855">
        <v>5</v>
      </c>
      <c r="D855">
        <v>5</v>
      </c>
      <c r="Q855">
        <v>5</v>
      </c>
    </row>
    <row r="856" spans="1:17" x14ac:dyDescent="0.25">
      <c r="A856">
        <v>6.25</v>
      </c>
      <c r="D856">
        <v>5</v>
      </c>
      <c r="Q856">
        <v>5</v>
      </c>
    </row>
    <row r="857" spans="1:17" x14ac:dyDescent="0.25">
      <c r="A857">
        <v>5</v>
      </c>
      <c r="D857">
        <v>5.5</v>
      </c>
      <c r="Q857">
        <v>3.5</v>
      </c>
    </row>
    <row r="858" spans="1:17" x14ac:dyDescent="0.25">
      <c r="A858">
        <v>5</v>
      </c>
      <c r="D858">
        <v>6.5</v>
      </c>
      <c r="Q858">
        <v>5</v>
      </c>
    </row>
    <row r="859" spans="1:17" x14ac:dyDescent="0.25">
      <c r="A859">
        <v>5.25</v>
      </c>
      <c r="D859">
        <v>5</v>
      </c>
      <c r="Q859">
        <v>5</v>
      </c>
    </row>
    <row r="860" spans="1:17" x14ac:dyDescent="0.25">
      <c r="A860">
        <v>5</v>
      </c>
      <c r="D860">
        <v>6.5</v>
      </c>
      <c r="Q860">
        <v>5</v>
      </c>
    </row>
    <row r="861" spans="1:17" x14ac:dyDescent="0.25">
      <c r="A861">
        <v>5</v>
      </c>
      <c r="D861">
        <v>10</v>
      </c>
      <c r="Q861">
        <v>5</v>
      </c>
    </row>
    <row r="862" spans="1:17" x14ac:dyDescent="0.25">
      <c r="A862">
        <v>4</v>
      </c>
      <c r="D862">
        <v>5</v>
      </c>
      <c r="Q862">
        <v>2.5</v>
      </c>
    </row>
    <row r="863" spans="1:17" x14ac:dyDescent="0.25">
      <c r="A863">
        <v>4</v>
      </c>
      <c r="D863">
        <v>5</v>
      </c>
      <c r="Q863">
        <v>4.5</v>
      </c>
    </row>
    <row r="864" spans="1:17" x14ac:dyDescent="0.25">
      <c r="A864">
        <v>3</v>
      </c>
      <c r="D864">
        <v>2</v>
      </c>
      <c r="Q864">
        <v>7.25</v>
      </c>
    </row>
    <row r="865" spans="1:17" x14ac:dyDescent="0.25">
      <c r="A865">
        <v>5</v>
      </c>
      <c r="D865">
        <v>5</v>
      </c>
      <c r="Q865">
        <v>5</v>
      </c>
    </row>
    <row r="866" spans="1:17" x14ac:dyDescent="0.25">
      <c r="A866">
        <v>5</v>
      </c>
      <c r="D866">
        <v>5</v>
      </c>
      <c r="Q866">
        <v>5</v>
      </c>
    </row>
    <row r="867" spans="1:17" x14ac:dyDescent="0.25">
      <c r="A867">
        <v>5.25</v>
      </c>
      <c r="D867">
        <v>5</v>
      </c>
      <c r="Q867">
        <v>5</v>
      </c>
    </row>
    <row r="868" spans="1:17" x14ac:dyDescent="0.25">
      <c r="A868">
        <v>3</v>
      </c>
      <c r="D868">
        <v>3.5</v>
      </c>
      <c r="Q868">
        <v>5.25</v>
      </c>
    </row>
    <row r="869" spans="1:17" x14ac:dyDescent="0.25">
      <c r="A869">
        <v>4</v>
      </c>
      <c r="D869">
        <v>5</v>
      </c>
      <c r="Q869">
        <v>5</v>
      </c>
    </row>
    <row r="870" spans="1:17" x14ac:dyDescent="0.25">
      <c r="A870">
        <v>5</v>
      </c>
      <c r="D870">
        <v>2</v>
      </c>
      <c r="Q870">
        <v>5</v>
      </c>
    </row>
    <row r="871" spans="1:17" x14ac:dyDescent="0.25">
      <c r="A871">
        <v>5</v>
      </c>
      <c r="D871">
        <v>1.25</v>
      </c>
      <c r="Q871">
        <v>6.5</v>
      </c>
    </row>
    <row r="872" spans="1:17" x14ac:dyDescent="0.25">
      <c r="A872">
        <v>5</v>
      </c>
      <c r="D872">
        <v>1.25</v>
      </c>
      <c r="Q872">
        <v>5</v>
      </c>
    </row>
    <row r="873" spans="1:17" x14ac:dyDescent="0.25">
      <c r="A873">
        <v>9</v>
      </c>
      <c r="D873">
        <v>5</v>
      </c>
      <c r="Q873">
        <v>5</v>
      </c>
    </row>
    <row r="874" spans="1:17" x14ac:dyDescent="0.25">
      <c r="A874">
        <v>5</v>
      </c>
      <c r="D874">
        <v>5.25</v>
      </c>
      <c r="Q874">
        <v>4.75</v>
      </c>
    </row>
    <row r="875" spans="1:17" x14ac:dyDescent="0.25">
      <c r="A875">
        <v>3</v>
      </c>
      <c r="D875">
        <v>5</v>
      </c>
      <c r="Q875">
        <v>5</v>
      </c>
    </row>
    <row r="876" spans="1:17" x14ac:dyDescent="0.25">
      <c r="A876">
        <v>5.25</v>
      </c>
      <c r="D876">
        <v>8.75</v>
      </c>
      <c r="Q876">
        <v>5</v>
      </c>
    </row>
    <row r="877" spans="1:17" x14ac:dyDescent="0.25">
      <c r="A877">
        <v>9</v>
      </c>
      <c r="D877">
        <v>1</v>
      </c>
      <c r="Q877">
        <v>5.25</v>
      </c>
    </row>
    <row r="878" spans="1:17" x14ac:dyDescent="0.25">
      <c r="A878">
        <v>3</v>
      </c>
      <c r="D878">
        <v>5</v>
      </c>
      <c r="Q878">
        <v>5</v>
      </c>
    </row>
    <row r="879" spans="1:17" x14ac:dyDescent="0.25">
      <c r="A879">
        <v>5</v>
      </c>
      <c r="D879">
        <v>8.25</v>
      </c>
      <c r="Q879">
        <v>5</v>
      </c>
    </row>
    <row r="880" spans="1:17" x14ac:dyDescent="0.25">
      <c r="A880">
        <v>5</v>
      </c>
      <c r="D880">
        <v>1.5</v>
      </c>
      <c r="Q880">
        <v>5</v>
      </c>
    </row>
    <row r="881" spans="1:17" x14ac:dyDescent="0.25">
      <c r="A881">
        <v>4</v>
      </c>
      <c r="D881">
        <v>5</v>
      </c>
      <c r="Q881">
        <v>5</v>
      </c>
    </row>
    <row r="882" spans="1:17" x14ac:dyDescent="0.25">
      <c r="A882">
        <v>5</v>
      </c>
      <c r="D882">
        <v>3.25</v>
      </c>
      <c r="Q882">
        <v>5.25</v>
      </c>
    </row>
    <row r="883" spans="1:17" x14ac:dyDescent="0.25">
      <c r="A883">
        <v>6.5</v>
      </c>
      <c r="D883">
        <v>3.5</v>
      </c>
      <c r="Q883">
        <v>5</v>
      </c>
    </row>
    <row r="884" spans="1:17" x14ac:dyDescent="0.25">
      <c r="A884">
        <v>3.5</v>
      </c>
      <c r="D884">
        <v>3.5</v>
      </c>
      <c r="Q884">
        <v>5.25</v>
      </c>
    </row>
    <row r="885" spans="1:17" x14ac:dyDescent="0.25">
      <c r="A885">
        <v>4.25</v>
      </c>
      <c r="D885">
        <v>5</v>
      </c>
      <c r="Q885">
        <v>5</v>
      </c>
    </row>
    <row r="886" spans="1:17" x14ac:dyDescent="0.25">
      <c r="A886">
        <v>5</v>
      </c>
      <c r="D886">
        <v>5</v>
      </c>
      <c r="Q886">
        <v>7.25</v>
      </c>
    </row>
    <row r="887" spans="1:17" x14ac:dyDescent="0.25">
      <c r="A887">
        <v>5</v>
      </c>
      <c r="D887">
        <v>10</v>
      </c>
      <c r="Q887">
        <v>3</v>
      </c>
    </row>
    <row r="888" spans="1:17" x14ac:dyDescent="0.25">
      <c r="A888">
        <v>2</v>
      </c>
      <c r="D888">
        <v>9</v>
      </c>
      <c r="Q888">
        <v>5</v>
      </c>
    </row>
    <row r="889" spans="1:17" x14ac:dyDescent="0.25">
      <c r="A889">
        <v>5</v>
      </c>
      <c r="D889">
        <v>4</v>
      </c>
      <c r="Q889">
        <v>1.5</v>
      </c>
    </row>
    <row r="890" spans="1:17" x14ac:dyDescent="0.25">
      <c r="A890">
        <v>2.25</v>
      </c>
      <c r="D890">
        <v>5</v>
      </c>
      <c r="Q890">
        <v>5.5</v>
      </c>
    </row>
    <row r="891" spans="1:17" x14ac:dyDescent="0.25">
      <c r="A891">
        <v>8</v>
      </c>
      <c r="D891">
        <v>3.5</v>
      </c>
      <c r="Q891">
        <v>5</v>
      </c>
    </row>
    <row r="892" spans="1:17" x14ac:dyDescent="0.25">
      <c r="A892">
        <v>1.5</v>
      </c>
      <c r="D892">
        <v>5</v>
      </c>
      <c r="Q892">
        <v>5</v>
      </c>
    </row>
    <row r="893" spans="1:17" x14ac:dyDescent="0.25">
      <c r="A893">
        <v>4.5</v>
      </c>
      <c r="D893">
        <v>1.25</v>
      </c>
      <c r="Q893">
        <v>0.75</v>
      </c>
    </row>
    <row r="894" spans="1:17" x14ac:dyDescent="0.25">
      <c r="A894">
        <v>3.5</v>
      </c>
      <c r="D894">
        <v>5</v>
      </c>
      <c r="Q894">
        <v>1</v>
      </c>
    </row>
    <row r="895" spans="1:17" x14ac:dyDescent="0.25">
      <c r="A895">
        <v>5</v>
      </c>
      <c r="D895">
        <v>5</v>
      </c>
      <c r="Q895">
        <v>5</v>
      </c>
    </row>
    <row r="896" spans="1:17" x14ac:dyDescent="0.25">
      <c r="A896">
        <v>2.5</v>
      </c>
      <c r="D896">
        <v>5</v>
      </c>
      <c r="Q896">
        <v>5</v>
      </c>
    </row>
    <row r="897" spans="1:17" x14ac:dyDescent="0.25">
      <c r="A897">
        <v>7.75</v>
      </c>
      <c r="D897">
        <v>5</v>
      </c>
      <c r="Q897">
        <v>4</v>
      </c>
    </row>
    <row r="898" spans="1:17" x14ac:dyDescent="0.25">
      <c r="A898">
        <v>5</v>
      </c>
      <c r="D898">
        <v>5</v>
      </c>
      <c r="Q898">
        <v>5</v>
      </c>
    </row>
    <row r="899" spans="1:17" x14ac:dyDescent="0.25">
      <c r="A899">
        <v>5</v>
      </c>
      <c r="D899">
        <v>8.25</v>
      </c>
      <c r="Q899">
        <v>5</v>
      </c>
    </row>
    <row r="900" spans="1:17" x14ac:dyDescent="0.25">
      <c r="A900">
        <v>5</v>
      </c>
      <c r="D900">
        <v>5</v>
      </c>
      <c r="Q900">
        <v>4</v>
      </c>
    </row>
    <row r="901" spans="1:17" x14ac:dyDescent="0.25">
      <c r="A901">
        <v>8</v>
      </c>
      <c r="D901">
        <v>5</v>
      </c>
      <c r="Q901">
        <v>5.5</v>
      </c>
    </row>
    <row r="902" spans="1:17" x14ac:dyDescent="0.25">
      <c r="A902">
        <v>9.5</v>
      </c>
      <c r="D902">
        <v>5</v>
      </c>
      <c r="Q902">
        <v>5</v>
      </c>
    </row>
    <row r="903" spans="1:17" x14ac:dyDescent="0.25">
      <c r="A903">
        <v>5.5</v>
      </c>
      <c r="D903">
        <v>6.75</v>
      </c>
      <c r="Q903">
        <v>5</v>
      </c>
    </row>
    <row r="904" spans="1:17" x14ac:dyDescent="0.25">
      <c r="A904">
        <v>5</v>
      </c>
      <c r="D904">
        <v>5</v>
      </c>
      <c r="Q904">
        <v>5</v>
      </c>
    </row>
    <row r="905" spans="1:17" x14ac:dyDescent="0.25">
      <c r="A905">
        <v>7</v>
      </c>
      <c r="D905">
        <v>7</v>
      </c>
      <c r="Q905">
        <v>5</v>
      </c>
    </row>
    <row r="906" spans="1:17" x14ac:dyDescent="0.25">
      <c r="A906">
        <v>4.75</v>
      </c>
      <c r="D906">
        <v>5</v>
      </c>
      <c r="Q906">
        <v>5</v>
      </c>
    </row>
    <row r="907" spans="1:17" x14ac:dyDescent="0.25">
      <c r="A907">
        <v>3.25</v>
      </c>
      <c r="D907">
        <v>5</v>
      </c>
      <c r="Q907">
        <v>5</v>
      </c>
    </row>
    <row r="908" spans="1:17" x14ac:dyDescent="0.25">
      <c r="A908">
        <v>5</v>
      </c>
      <c r="D908">
        <v>4</v>
      </c>
      <c r="Q908">
        <v>4</v>
      </c>
    </row>
    <row r="909" spans="1:17" x14ac:dyDescent="0.25">
      <c r="A909">
        <v>2.5</v>
      </c>
      <c r="D909">
        <v>5</v>
      </c>
      <c r="Q909">
        <v>5.75</v>
      </c>
    </row>
    <row r="910" spans="1:17" x14ac:dyDescent="0.25">
      <c r="A910">
        <v>4</v>
      </c>
      <c r="D910">
        <v>5</v>
      </c>
      <c r="Q910">
        <v>1</v>
      </c>
    </row>
    <row r="911" spans="1:17" x14ac:dyDescent="0.25">
      <c r="A911">
        <v>5</v>
      </c>
      <c r="D911">
        <v>5</v>
      </c>
      <c r="Q911">
        <v>4</v>
      </c>
    </row>
    <row r="912" spans="1:17" x14ac:dyDescent="0.25">
      <c r="A912">
        <v>9</v>
      </c>
      <c r="D912">
        <v>5</v>
      </c>
      <c r="Q912">
        <v>3</v>
      </c>
    </row>
    <row r="913" spans="1:17" x14ac:dyDescent="0.25">
      <c r="A913">
        <v>10</v>
      </c>
      <c r="D913">
        <v>5</v>
      </c>
      <c r="Q913">
        <v>5</v>
      </c>
    </row>
    <row r="914" spans="1:17" x14ac:dyDescent="0.25">
      <c r="A914">
        <v>5</v>
      </c>
      <c r="D914">
        <v>1.25</v>
      </c>
      <c r="Q914">
        <v>5</v>
      </c>
    </row>
    <row r="915" spans="1:17" x14ac:dyDescent="0.25">
      <c r="A915">
        <v>5</v>
      </c>
      <c r="D915">
        <v>5</v>
      </c>
      <c r="Q915">
        <v>5</v>
      </c>
    </row>
    <row r="916" spans="1:17" x14ac:dyDescent="0.25">
      <c r="A916">
        <v>5</v>
      </c>
      <c r="D916">
        <v>10</v>
      </c>
      <c r="Q916">
        <v>5</v>
      </c>
    </row>
    <row r="917" spans="1:17" x14ac:dyDescent="0.25">
      <c r="A917">
        <v>5</v>
      </c>
      <c r="D917">
        <v>10</v>
      </c>
      <c r="Q917">
        <v>5.25</v>
      </c>
    </row>
    <row r="918" spans="1:17" x14ac:dyDescent="0.25">
      <c r="A918">
        <v>6</v>
      </c>
      <c r="D918">
        <v>5</v>
      </c>
      <c r="Q918">
        <v>2.5</v>
      </c>
    </row>
    <row r="919" spans="1:17" x14ac:dyDescent="0.25">
      <c r="A919">
        <v>5</v>
      </c>
      <c r="D919">
        <v>5</v>
      </c>
      <c r="Q919">
        <v>5</v>
      </c>
    </row>
    <row r="920" spans="1:17" x14ac:dyDescent="0.25">
      <c r="A920">
        <v>5</v>
      </c>
      <c r="D920">
        <v>5</v>
      </c>
      <c r="Q920">
        <v>5</v>
      </c>
    </row>
    <row r="921" spans="1:17" x14ac:dyDescent="0.25">
      <c r="A921">
        <v>1.75</v>
      </c>
      <c r="D921">
        <v>4</v>
      </c>
      <c r="Q921">
        <v>5</v>
      </c>
    </row>
    <row r="922" spans="1:17" x14ac:dyDescent="0.25">
      <c r="A922">
        <v>4</v>
      </c>
      <c r="D922">
        <v>1</v>
      </c>
      <c r="Q922">
        <v>6.5</v>
      </c>
    </row>
    <row r="923" spans="1:17" x14ac:dyDescent="0.25">
      <c r="A923">
        <v>5</v>
      </c>
      <c r="D923">
        <v>5</v>
      </c>
      <c r="Q923">
        <v>5.25</v>
      </c>
    </row>
    <row r="924" spans="1:17" x14ac:dyDescent="0.25">
      <c r="A924">
        <v>5</v>
      </c>
      <c r="D924">
        <v>5</v>
      </c>
      <c r="Q924">
        <v>5</v>
      </c>
    </row>
    <row r="925" spans="1:17" x14ac:dyDescent="0.25">
      <c r="A925">
        <v>5</v>
      </c>
      <c r="D925">
        <v>5.25</v>
      </c>
      <c r="Q925">
        <v>5</v>
      </c>
    </row>
    <row r="926" spans="1:17" x14ac:dyDescent="0.25">
      <c r="A926">
        <v>3</v>
      </c>
      <c r="D926">
        <v>5</v>
      </c>
      <c r="Q926">
        <v>6</v>
      </c>
    </row>
    <row r="927" spans="1:17" x14ac:dyDescent="0.25">
      <c r="A927">
        <v>5</v>
      </c>
      <c r="D927">
        <v>6.5</v>
      </c>
      <c r="Q927">
        <v>2.5</v>
      </c>
    </row>
    <row r="928" spans="1:17" x14ac:dyDescent="0.25">
      <c r="A928">
        <v>5</v>
      </c>
      <c r="D928">
        <v>9</v>
      </c>
      <c r="Q928">
        <v>5</v>
      </c>
    </row>
    <row r="929" spans="1:17" x14ac:dyDescent="0.25">
      <c r="A929">
        <v>5</v>
      </c>
      <c r="D929">
        <v>5</v>
      </c>
      <c r="Q929">
        <v>5</v>
      </c>
    </row>
    <row r="930" spans="1:17" x14ac:dyDescent="0.25">
      <c r="A930">
        <v>5</v>
      </c>
      <c r="D930">
        <v>4</v>
      </c>
      <c r="Q930">
        <v>5.25</v>
      </c>
    </row>
    <row r="931" spans="1:17" x14ac:dyDescent="0.25">
      <c r="A931">
        <v>5.25</v>
      </c>
      <c r="D931">
        <v>1.25</v>
      </c>
      <c r="Q931">
        <v>2</v>
      </c>
    </row>
    <row r="932" spans="1:17" x14ac:dyDescent="0.25">
      <c r="A932">
        <v>3.25</v>
      </c>
      <c r="D932">
        <v>3.5</v>
      </c>
      <c r="Q932">
        <v>5</v>
      </c>
    </row>
    <row r="933" spans="1:17" x14ac:dyDescent="0.25">
      <c r="A933">
        <v>2</v>
      </c>
      <c r="D933">
        <v>5</v>
      </c>
      <c r="Q933">
        <v>6.5</v>
      </c>
    </row>
    <row r="934" spans="1:17" x14ac:dyDescent="0.25">
      <c r="A934">
        <v>5</v>
      </c>
      <c r="D934">
        <v>2.25</v>
      </c>
      <c r="Q934">
        <v>3</v>
      </c>
    </row>
    <row r="935" spans="1:17" x14ac:dyDescent="0.25">
      <c r="A935">
        <v>1.25</v>
      </c>
      <c r="D935">
        <v>5</v>
      </c>
      <c r="Q935">
        <v>3.5</v>
      </c>
    </row>
    <row r="936" spans="1:17" x14ac:dyDescent="0.25">
      <c r="A936">
        <v>5</v>
      </c>
      <c r="D936">
        <v>3.5</v>
      </c>
      <c r="Q936">
        <v>3</v>
      </c>
    </row>
    <row r="937" spans="1:17" x14ac:dyDescent="0.25">
      <c r="A937">
        <v>1</v>
      </c>
      <c r="D937">
        <v>5</v>
      </c>
      <c r="Q937">
        <v>5</v>
      </c>
    </row>
    <row r="938" spans="1:17" x14ac:dyDescent="0.25">
      <c r="A938">
        <v>5</v>
      </c>
      <c r="D938">
        <v>1.25</v>
      </c>
      <c r="Q938">
        <v>5</v>
      </c>
    </row>
    <row r="939" spans="1:17" x14ac:dyDescent="0.25">
      <c r="A939">
        <v>1</v>
      </c>
      <c r="D939">
        <v>6.5</v>
      </c>
      <c r="Q939">
        <v>5.5</v>
      </c>
    </row>
    <row r="940" spans="1:17" x14ac:dyDescent="0.25">
      <c r="A940">
        <v>5</v>
      </c>
      <c r="D940">
        <v>10</v>
      </c>
      <c r="Q940">
        <v>5</v>
      </c>
    </row>
    <row r="941" spans="1:17" x14ac:dyDescent="0.25">
      <c r="A941">
        <v>5</v>
      </c>
      <c r="D941">
        <v>5</v>
      </c>
      <c r="Q941">
        <v>4.25</v>
      </c>
    </row>
    <row r="942" spans="1:17" x14ac:dyDescent="0.25">
      <c r="A942">
        <v>10</v>
      </c>
      <c r="D942">
        <v>5</v>
      </c>
      <c r="Q942">
        <v>5</v>
      </c>
    </row>
    <row r="943" spans="1:17" x14ac:dyDescent="0.25">
      <c r="A943">
        <v>5</v>
      </c>
      <c r="D943">
        <v>8</v>
      </c>
      <c r="Q943">
        <v>5</v>
      </c>
    </row>
    <row r="944" spans="1:17" x14ac:dyDescent="0.25">
      <c r="A944">
        <v>0.5</v>
      </c>
      <c r="D944">
        <v>5</v>
      </c>
      <c r="Q944">
        <v>5</v>
      </c>
    </row>
    <row r="945" spans="1:17" x14ac:dyDescent="0.25">
      <c r="A945">
        <v>5</v>
      </c>
      <c r="D945">
        <v>9</v>
      </c>
      <c r="Q945">
        <v>3</v>
      </c>
    </row>
    <row r="946" spans="1:17" x14ac:dyDescent="0.25">
      <c r="A946">
        <v>5</v>
      </c>
      <c r="D946">
        <v>1</v>
      </c>
      <c r="Q946">
        <v>3.25</v>
      </c>
    </row>
    <row r="947" spans="1:17" x14ac:dyDescent="0.25">
      <c r="A947">
        <v>5</v>
      </c>
      <c r="D947">
        <v>4</v>
      </c>
      <c r="Q947">
        <v>3</v>
      </c>
    </row>
    <row r="948" spans="1:17" x14ac:dyDescent="0.25">
      <c r="A948">
        <v>5</v>
      </c>
      <c r="D948">
        <v>6.5</v>
      </c>
      <c r="Q948">
        <v>5</v>
      </c>
    </row>
    <row r="949" spans="1:17" x14ac:dyDescent="0.25">
      <c r="A949">
        <v>5</v>
      </c>
      <c r="D949">
        <v>4</v>
      </c>
      <c r="Q949">
        <v>5</v>
      </c>
    </row>
    <row r="950" spans="1:17" x14ac:dyDescent="0.25">
      <c r="A950">
        <v>5</v>
      </c>
      <c r="D950">
        <v>3.5</v>
      </c>
      <c r="Q950">
        <v>2.25</v>
      </c>
    </row>
    <row r="951" spans="1:17" x14ac:dyDescent="0.25">
      <c r="A951">
        <v>5</v>
      </c>
      <c r="D951">
        <v>5</v>
      </c>
      <c r="Q951">
        <v>5</v>
      </c>
    </row>
    <row r="952" spans="1:17" x14ac:dyDescent="0.25">
      <c r="A952">
        <v>5</v>
      </c>
      <c r="D952">
        <v>10</v>
      </c>
      <c r="Q952">
        <v>5</v>
      </c>
    </row>
    <row r="953" spans="1:17" x14ac:dyDescent="0.25">
      <c r="A953">
        <v>5</v>
      </c>
      <c r="D953">
        <v>5</v>
      </c>
      <c r="Q953">
        <v>5</v>
      </c>
    </row>
    <row r="954" spans="1:17" x14ac:dyDescent="0.25">
      <c r="A954">
        <v>9</v>
      </c>
      <c r="D954">
        <v>2.5</v>
      </c>
      <c r="Q954">
        <v>6</v>
      </c>
    </row>
    <row r="955" spans="1:17" x14ac:dyDescent="0.25">
      <c r="A955">
        <v>5</v>
      </c>
      <c r="D955">
        <v>6.75</v>
      </c>
      <c r="Q955">
        <v>5</v>
      </c>
    </row>
    <row r="956" spans="1:17" x14ac:dyDescent="0.25">
      <c r="A956">
        <v>4.5</v>
      </c>
      <c r="D956">
        <v>5</v>
      </c>
      <c r="Q956">
        <v>6.25</v>
      </c>
    </row>
    <row r="957" spans="1:17" x14ac:dyDescent="0.25">
      <c r="A957">
        <v>4.25</v>
      </c>
      <c r="D957">
        <v>2</v>
      </c>
      <c r="Q957">
        <v>5</v>
      </c>
    </row>
    <row r="958" spans="1:17" x14ac:dyDescent="0.25">
      <c r="A958">
        <v>5</v>
      </c>
      <c r="D958">
        <v>5</v>
      </c>
      <c r="Q958">
        <v>5</v>
      </c>
    </row>
    <row r="959" spans="1:17" x14ac:dyDescent="0.25">
      <c r="A959">
        <v>3.5</v>
      </c>
      <c r="D959">
        <v>10</v>
      </c>
      <c r="Q959">
        <v>5.25</v>
      </c>
    </row>
    <row r="960" spans="1:17" x14ac:dyDescent="0.25">
      <c r="A960">
        <v>5</v>
      </c>
      <c r="D960">
        <v>5</v>
      </c>
      <c r="Q960">
        <v>5</v>
      </c>
    </row>
    <row r="961" spans="1:17" x14ac:dyDescent="0.25">
      <c r="A961">
        <v>4</v>
      </c>
      <c r="D961">
        <v>4</v>
      </c>
      <c r="Q961">
        <v>5</v>
      </c>
    </row>
    <row r="962" spans="1:17" x14ac:dyDescent="0.25">
      <c r="A962">
        <v>5</v>
      </c>
      <c r="D962">
        <v>5</v>
      </c>
      <c r="Q962">
        <v>1</v>
      </c>
    </row>
    <row r="963" spans="1:17" x14ac:dyDescent="0.25">
      <c r="A963">
        <v>5</v>
      </c>
      <c r="D963">
        <v>5</v>
      </c>
      <c r="Q963">
        <v>3</v>
      </c>
    </row>
    <row r="964" spans="1:17" x14ac:dyDescent="0.25">
      <c r="A964">
        <v>5</v>
      </c>
      <c r="D964">
        <v>5</v>
      </c>
      <c r="Q964">
        <v>5</v>
      </c>
    </row>
    <row r="965" spans="1:17" x14ac:dyDescent="0.25">
      <c r="A965">
        <v>5</v>
      </c>
      <c r="D965">
        <v>1</v>
      </c>
      <c r="Q965">
        <v>4</v>
      </c>
    </row>
    <row r="966" spans="1:17" x14ac:dyDescent="0.25">
      <c r="A966">
        <v>3</v>
      </c>
      <c r="D966">
        <v>5</v>
      </c>
      <c r="Q966">
        <v>4</v>
      </c>
    </row>
    <row r="967" spans="1:17" x14ac:dyDescent="0.25">
      <c r="A967">
        <v>5</v>
      </c>
      <c r="D967">
        <v>4</v>
      </c>
      <c r="Q967">
        <v>5</v>
      </c>
    </row>
    <row r="968" spans="1:17" x14ac:dyDescent="0.25">
      <c r="A968">
        <v>5</v>
      </c>
      <c r="D968">
        <v>5</v>
      </c>
      <c r="Q968">
        <v>5</v>
      </c>
    </row>
    <row r="969" spans="1:17" x14ac:dyDescent="0.25">
      <c r="A969">
        <v>8.25</v>
      </c>
      <c r="D969">
        <v>5</v>
      </c>
      <c r="Q969">
        <v>5</v>
      </c>
    </row>
    <row r="970" spans="1:17" x14ac:dyDescent="0.25">
      <c r="A970">
        <v>5</v>
      </c>
      <c r="D970">
        <v>2.5</v>
      </c>
      <c r="Q970">
        <v>5</v>
      </c>
    </row>
    <row r="971" spans="1:17" x14ac:dyDescent="0.25">
      <c r="A971">
        <v>5</v>
      </c>
      <c r="D971">
        <v>4.75</v>
      </c>
      <c r="Q971">
        <v>1</v>
      </c>
    </row>
    <row r="972" spans="1:17" x14ac:dyDescent="0.25">
      <c r="A972">
        <v>5.75</v>
      </c>
      <c r="D972">
        <v>10</v>
      </c>
      <c r="Q972">
        <v>3</v>
      </c>
    </row>
    <row r="973" spans="1:17" x14ac:dyDescent="0.25">
      <c r="A973">
        <v>5</v>
      </c>
      <c r="D973">
        <v>5</v>
      </c>
      <c r="Q973">
        <v>4</v>
      </c>
    </row>
    <row r="974" spans="1:17" x14ac:dyDescent="0.25">
      <c r="A974">
        <v>5.5</v>
      </c>
      <c r="D974">
        <v>5</v>
      </c>
      <c r="Q974">
        <v>5.25</v>
      </c>
    </row>
    <row r="975" spans="1:17" x14ac:dyDescent="0.25">
      <c r="A975">
        <v>5</v>
      </c>
      <c r="D975">
        <v>5</v>
      </c>
      <c r="Q975">
        <v>5</v>
      </c>
    </row>
    <row r="976" spans="1:17" x14ac:dyDescent="0.25">
      <c r="A976">
        <v>3</v>
      </c>
      <c r="D976">
        <v>5</v>
      </c>
      <c r="Q976">
        <v>5</v>
      </c>
    </row>
    <row r="977" spans="1:17" x14ac:dyDescent="0.25">
      <c r="A977">
        <v>5</v>
      </c>
      <c r="D977">
        <v>2.5</v>
      </c>
      <c r="Q977">
        <v>3.25</v>
      </c>
    </row>
    <row r="978" spans="1:17" x14ac:dyDescent="0.25">
      <c r="A978">
        <v>5</v>
      </c>
      <c r="D978">
        <v>5</v>
      </c>
      <c r="Q978">
        <v>5</v>
      </c>
    </row>
    <row r="979" spans="1:17" x14ac:dyDescent="0.25">
      <c r="A979">
        <v>10</v>
      </c>
      <c r="D979">
        <v>5</v>
      </c>
      <c r="Q979">
        <v>5</v>
      </c>
    </row>
    <row r="980" spans="1:17" x14ac:dyDescent="0.25">
      <c r="A980">
        <v>5</v>
      </c>
      <c r="D980">
        <v>5</v>
      </c>
      <c r="Q980">
        <v>5</v>
      </c>
    </row>
    <row r="981" spans="1:17" x14ac:dyDescent="0.25">
      <c r="A981">
        <v>10</v>
      </c>
      <c r="D981">
        <v>7</v>
      </c>
      <c r="Q981">
        <v>5</v>
      </c>
    </row>
    <row r="982" spans="1:17" x14ac:dyDescent="0.25">
      <c r="A982">
        <v>5</v>
      </c>
      <c r="D982">
        <v>5</v>
      </c>
      <c r="Q982">
        <v>1.75</v>
      </c>
    </row>
    <row r="983" spans="1:17" x14ac:dyDescent="0.25">
      <c r="A983">
        <v>5.25</v>
      </c>
      <c r="D983">
        <v>3.5</v>
      </c>
      <c r="Q983">
        <v>5</v>
      </c>
    </row>
    <row r="984" spans="1:17" x14ac:dyDescent="0.25">
      <c r="A984">
        <v>5</v>
      </c>
      <c r="D984">
        <v>5</v>
      </c>
      <c r="Q984">
        <v>7</v>
      </c>
    </row>
    <row r="985" spans="1:17" x14ac:dyDescent="0.25">
      <c r="A985">
        <v>2</v>
      </c>
      <c r="D985">
        <v>4.5</v>
      </c>
      <c r="Q985">
        <v>10.5</v>
      </c>
    </row>
    <row r="986" spans="1:17" x14ac:dyDescent="0.25">
      <c r="A986">
        <v>5</v>
      </c>
      <c r="D986">
        <v>4</v>
      </c>
      <c r="Q986">
        <v>3.25</v>
      </c>
    </row>
    <row r="987" spans="1:17" x14ac:dyDescent="0.25">
      <c r="A987">
        <v>1</v>
      </c>
      <c r="D987">
        <v>2</v>
      </c>
      <c r="Q987">
        <v>5</v>
      </c>
    </row>
    <row r="988" spans="1:17" x14ac:dyDescent="0.25">
      <c r="A988">
        <v>5</v>
      </c>
      <c r="D988">
        <v>5</v>
      </c>
      <c r="Q988">
        <v>7.25</v>
      </c>
    </row>
    <row r="989" spans="1:17" x14ac:dyDescent="0.25">
      <c r="A989">
        <v>5</v>
      </c>
      <c r="D989">
        <v>6.75</v>
      </c>
      <c r="Q989">
        <v>5</v>
      </c>
    </row>
    <row r="990" spans="1:17" x14ac:dyDescent="0.25">
      <c r="A990">
        <v>5.5</v>
      </c>
      <c r="D990">
        <v>5</v>
      </c>
      <c r="Q990">
        <v>5</v>
      </c>
    </row>
    <row r="991" spans="1:17" x14ac:dyDescent="0.25">
      <c r="A991">
        <v>5</v>
      </c>
      <c r="D991">
        <v>6</v>
      </c>
      <c r="Q991">
        <v>8</v>
      </c>
    </row>
    <row r="992" spans="1:17" x14ac:dyDescent="0.25">
      <c r="A992">
        <v>5</v>
      </c>
      <c r="D992">
        <v>5</v>
      </c>
      <c r="Q992">
        <v>5.5</v>
      </c>
    </row>
    <row r="993" spans="1:17" x14ac:dyDescent="0.25">
      <c r="A993">
        <v>5.5</v>
      </c>
      <c r="D993">
        <v>5</v>
      </c>
      <c r="Q993">
        <v>5</v>
      </c>
    </row>
    <row r="994" spans="1:17" x14ac:dyDescent="0.25">
      <c r="A994">
        <v>5</v>
      </c>
      <c r="D994">
        <v>5</v>
      </c>
      <c r="Q994">
        <v>2.25</v>
      </c>
    </row>
    <row r="995" spans="1:17" x14ac:dyDescent="0.25">
      <c r="A995">
        <v>9</v>
      </c>
      <c r="D995">
        <v>4</v>
      </c>
      <c r="Q995">
        <v>5</v>
      </c>
    </row>
    <row r="996" spans="1:17" x14ac:dyDescent="0.25">
      <c r="A996">
        <v>5</v>
      </c>
      <c r="D996">
        <v>5</v>
      </c>
      <c r="Q996">
        <v>2.5</v>
      </c>
    </row>
    <row r="997" spans="1:17" x14ac:dyDescent="0.25">
      <c r="A997">
        <v>4</v>
      </c>
      <c r="D997">
        <v>5</v>
      </c>
      <c r="Q997">
        <v>4</v>
      </c>
    </row>
    <row r="998" spans="1:17" x14ac:dyDescent="0.25">
      <c r="A998">
        <v>5</v>
      </c>
      <c r="D998">
        <v>5</v>
      </c>
      <c r="Q998">
        <v>6</v>
      </c>
    </row>
    <row r="999" spans="1:17" x14ac:dyDescent="0.25">
      <c r="A999">
        <v>5</v>
      </c>
      <c r="D999">
        <v>5</v>
      </c>
      <c r="Q999">
        <v>5</v>
      </c>
    </row>
    <row r="1000" spans="1:17" x14ac:dyDescent="0.25">
      <c r="A1000">
        <v>4.25</v>
      </c>
      <c r="D1000">
        <v>5</v>
      </c>
      <c r="Q1000">
        <v>5</v>
      </c>
    </row>
    <row r="1001" spans="1:17" x14ac:dyDescent="0.25">
      <c r="A1001">
        <v>9</v>
      </c>
      <c r="D1001">
        <v>6.5</v>
      </c>
      <c r="Q1001">
        <v>3</v>
      </c>
    </row>
    <row r="1002" spans="1:17" x14ac:dyDescent="0.25">
      <c r="A1002">
        <v>5</v>
      </c>
      <c r="D1002">
        <v>5</v>
      </c>
      <c r="Q1002">
        <v>5</v>
      </c>
    </row>
    <row r="1003" spans="1:17" x14ac:dyDescent="0.25">
      <c r="A1003">
        <v>4.5</v>
      </c>
      <c r="D1003">
        <v>5</v>
      </c>
      <c r="Q1003">
        <v>6</v>
      </c>
    </row>
    <row r="1004" spans="1:17" x14ac:dyDescent="0.25">
      <c r="A1004">
        <v>5</v>
      </c>
      <c r="D1004">
        <v>5</v>
      </c>
      <c r="Q1004">
        <v>5</v>
      </c>
    </row>
    <row r="1005" spans="1:17" x14ac:dyDescent="0.25">
      <c r="A1005">
        <v>8.75</v>
      </c>
      <c r="D1005">
        <v>7</v>
      </c>
      <c r="Q1005">
        <v>7</v>
      </c>
    </row>
    <row r="1006" spans="1:17" x14ac:dyDescent="0.25">
      <c r="A1006">
        <v>5</v>
      </c>
      <c r="D1006">
        <v>5</v>
      </c>
      <c r="Q1006">
        <v>5</v>
      </c>
    </row>
    <row r="1007" spans="1:17" x14ac:dyDescent="0.25">
      <c r="A1007">
        <v>5</v>
      </c>
      <c r="D1007">
        <v>5</v>
      </c>
      <c r="Q1007">
        <v>5</v>
      </c>
    </row>
    <row r="1008" spans="1:17" x14ac:dyDescent="0.25">
      <c r="A1008">
        <v>5.5</v>
      </c>
      <c r="D1008">
        <v>3.25</v>
      </c>
      <c r="Q1008">
        <v>5</v>
      </c>
    </row>
    <row r="1009" spans="1:17" x14ac:dyDescent="0.25">
      <c r="A1009">
        <v>5</v>
      </c>
      <c r="D1009">
        <v>1</v>
      </c>
      <c r="Q1009">
        <v>4.75</v>
      </c>
    </row>
    <row r="1010" spans="1:17" x14ac:dyDescent="0.25">
      <c r="A1010">
        <v>4</v>
      </c>
      <c r="D1010">
        <v>3.75</v>
      </c>
      <c r="Q1010">
        <v>5</v>
      </c>
    </row>
    <row r="1011" spans="1:17" x14ac:dyDescent="0.25">
      <c r="A1011">
        <v>4</v>
      </c>
      <c r="D1011">
        <v>3.75</v>
      </c>
      <c r="Q1011">
        <v>5</v>
      </c>
    </row>
    <row r="1012" spans="1:17" x14ac:dyDescent="0.25">
      <c r="A1012">
        <v>5</v>
      </c>
      <c r="D1012">
        <v>10</v>
      </c>
      <c r="Q1012">
        <v>5</v>
      </c>
    </row>
    <row r="1013" spans="1:17" x14ac:dyDescent="0.25">
      <c r="A1013">
        <v>5</v>
      </c>
      <c r="D1013">
        <v>1</v>
      </c>
      <c r="Q1013">
        <v>5</v>
      </c>
    </row>
    <row r="1014" spans="1:17" x14ac:dyDescent="0.25">
      <c r="A1014">
        <v>5</v>
      </c>
      <c r="D1014">
        <v>4</v>
      </c>
      <c r="Q1014">
        <v>5</v>
      </c>
    </row>
    <row r="1015" spans="1:17" x14ac:dyDescent="0.25">
      <c r="A1015">
        <v>5</v>
      </c>
      <c r="D1015">
        <v>5</v>
      </c>
      <c r="Q1015">
        <v>5</v>
      </c>
    </row>
    <row r="1016" spans="1:17" x14ac:dyDescent="0.25">
      <c r="A1016">
        <v>5</v>
      </c>
      <c r="D1016">
        <v>5</v>
      </c>
      <c r="Q1016">
        <v>5.25</v>
      </c>
    </row>
    <row r="1017" spans="1:17" x14ac:dyDescent="0.25">
      <c r="A1017">
        <v>2.5</v>
      </c>
      <c r="D1017">
        <v>5</v>
      </c>
      <c r="Q1017">
        <v>5</v>
      </c>
    </row>
    <row r="1018" spans="1:17" x14ac:dyDescent="0.25">
      <c r="A1018">
        <v>5</v>
      </c>
      <c r="D1018">
        <v>5</v>
      </c>
      <c r="Q1018">
        <v>3.5</v>
      </c>
    </row>
    <row r="1019" spans="1:17" x14ac:dyDescent="0.25">
      <c r="A1019">
        <v>4.75</v>
      </c>
      <c r="D1019">
        <v>4</v>
      </c>
      <c r="Q1019">
        <v>5</v>
      </c>
    </row>
    <row r="1020" spans="1:17" x14ac:dyDescent="0.25">
      <c r="A1020">
        <v>1.25</v>
      </c>
      <c r="D1020">
        <v>10</v>
      </c>
      <c r="Q1020">
        <v>4</v>
      </c>
    </row>
    <row r="1021" spans="1:17" x14ac:dyDescent="0.25">
      <c r="A1021">
        <v>8</v>
      </c>
      <c r="D1021">
        <v>10</v>
      </c>
      <c r="Q1021">
        <v>3.5</v>
      </c>
    </row>
    <row r="1022" spans="1:17" x14ac:dyDescent="0.25">
      <c r="A1022">
        <v>10</v>
      </c>
      <c r="D1022">
        <v>2</v>
      </c>
      <c r="Q1022">
        <v>4.5</v>
      </c>
    </row>
    <row r="1023" spans="1:17" x14ac:dyDescent="0.25">
      <c r="A1023">
        <v>5</v>
      </c>
      <c r="D1023">
        <v>4.5</v>
      </c>
      <c r="Q1023">
        <v>3.75</v>
      </c>
    </row>
    <row r="1024" spans="1:17" x14ac:dyDescent="0.25">
      <c r="A1024">
        <v>5</v>
      </c>
      <c r="D1024">
        <v>6</v>
      </c>
      <c r="Q1024">
        <v>5</v>
      </c>
    </row>
    <row r="1025" spans="1:17" x14ac:dyDescent="0.25">
      <c r="A1025">
        <v>8</v>
      </c>
      <c r="D1025">
        <v>5</v>
      </c>
      <c r="Q1025">
        <v>3.25</v>
      </c>
    </row>
    <row r="1026" spans="1:17" x14ac:dyDescent="0.25">
      <c r="A1026">
        <v>6.5</v>
      </c>
      <c r="D1026">
        <v>7.25</v>
      </c>
      <c r="Q1026">
        <v>5</v>
      </c>
    </row>
    <row r="1027" spans="1:17" x14ac:dyDescent="0.25">
      <c r="A1027">
        <v>5</v>
      </c>
      <c r="D1027">
        <v>7.5</v>
      </c>
      <c r="Q1027">
        <v>4.5</v>
      </c>
    </row>
    <row r="1028" spans="1:17" x14ac:dyDescent="0.25">
      <c r="A1028">
        <v>3</v>
      </c>
      <c r="D1028">
        <v>5</v>
      </c>
      <c r="Q1028">
        <v>5</v>
      </c>
    </row>
    <row r="1029" spans="1:17" x14ac:dyDescent="0.25">
      <c r="A1029">
        <v>4</v>
      </c>
      <c r="D1029">
        <v>5</v>
      </c>
      <c r="Q1029">
        <v>5</v>
      </c>
    </row>
    <row r="1030" spans="1:17" x14ac:dyDescent="0.25">
      <c r="A1030">
        <v>4.5</v>
      </c>
      <c r="D1030">
        <v>7.5</v>
      </c>
      <c r="Q1030">
        <v>5</v>
      </c>
    </row>
    <row r="1031" spans="1:17" x14ac:dyDescent="0.25">
      <c r="A1031">
        <v>5</v>
      </c>
      <c r="D1031">
        <v>7.5</v>
      </c>
      <c r="Q1031">
        <v>3</v>
      </c>
    </row>
    <row r="1032" spans="1:17" x14ac:dyDescent="0.25">
      <c r="A1032">
        <v>5</v>
      </c>
      <c r="D1032">
        <v>2.625</v>
      </c>
      <c r="Q1032">
        <v>7.5</v>
      </c>
    </row>
    <row r="1033" spans="1:17" x14ac:dyDescent="0.25">
      <c r="A1033">
        <v>5.75</v>
      </c>
      <c r="D1033">
        <v>12</v>
      </c>
      <c r="Q1033">
        <v>12.75</v>
      </c>
    </row>
    <row r="1034" spans="1:17" x14ac:dyDescent="0.25">
      <c r="A1034">
        <v>5</v>
      </c>
      <c r="D1034">
        <v>6.25</v>
      </c>
      <c r="Q1034">
        <v>3</v>
      </c>
    </row>
    <row r="1035" spans="1:17" x14ac:dyDescent="0.25">
      <c r="A1035">
        <v>3.75</v>
      </c>
      <c r="D1035">
        <v>5</v>
      </c>
      <c r="Q1035">
        <v>3</v>
      </c>
    </row>
    <row r="1036" spans="1:17" x14ac:dyDescent="0.25">
      <c r="A1036">
        <v>0.375</v>
      </c>
      <c r="D1036">
        <v>3.5</v>
      </c>
      <c r="Q1036">
        <v>7.5</v>
      </c>
    </row>
    <row r="1037" spans="1:17" x14ac:dyDescent="0.25">
      <c r="A1037">
        <v>5</v>
      </c>
      <c r="D1037">
        <v>5</v>
      </c>
      <c r="Q1037">
        <v>2.25</v>
      </c>
    </row>
    <row r="1038" spans="1:17" x14ac:dyDescent="0.25">
      <c r="A1038">
        <v>7.75</v>
      </c>
      <c r="D1038">
        <v>10</v>
      </c>
      <c r="Q1038">
        <v>6</v>
      </c>
    </row>
    <row r="1039" spans="1:17" x14ac:dyDescent="0.25">
      <c r="A1039">
        <v>5</v>
      </c>
      <c r="D1039">
        <v>10</v>
      </c>
      <c r="Q1039">
        <v>8.625</v>
      </c>
    </row>
    <row r="1040" spans="1:17" x14ac:dyDescent="0.25">
      <c r="A1040">
        <v>5</v>
      </c>
      <c r="D1040">
        <v>5</v>
      </c>
      <c r="Q1040">
        <v>7.5</v>
      </c>
    </row>
    <row r="1041" spans="1:17" x14ac:dyDescent="0.25">
      <c r="A1041">
        <v>10</v>
      </c>
      <c r="D1041">
        <v>5</v>
      </c>
      <c r="Q1041">
        <v>5</v>
      </c>
    </row>
    <row r="1042" spans="1:17" x14ac:dyDescent="0.25">
      <c r="A1042">
        <v>5</v>
      </c>
      <c r="D1042">
        <v>5</v>
      </c>
      <c r="Q1042">
        <v>5</v>
      </c>
    </row>
    <row r="1043" spans="1:17" x14ac:dyDescent="0.25">
      <c r="A1043">
        <v>4.25</v>
      </c>
      <c r="D1043">
        <v>7.125</v>
      </c>
      <c r="Q1043">
        <v>5</v>
      </c>
    </row>
    <row r="1044" spans="1:17" x14ac:dyDescent="0.25">
      <c r="A1044">
        <v>5</v>
      </c>
      <c r="D1044">
        <v>5.625</v>
      </c>
      <c r="Q1044">
        <v>5.25</v>
      </c>
    </row>
    <row r="1045" spans="1:17" x14ac:dyDescent="0.25">
      <c r="A1045">
        <v>5</v>
      </c>
      <c r="D1045">
        <v>2.5</v>
      </c>
      <c r="Q1045">
        <v>7.5</v>
      </c>
    </row>
    <row r="1046" spans="1:17" x14ac:dyDescent="0.25">
      <c r="A1046">
        <v>5</v>
      </c>
      <c r="D1046">
        <v>1.5</v>
      </c>
      <c r="Q1046">
        <v>5.625</v>
      </c>
    </row>
    <row r="1047" spans="1:17" x14ac:dyDescent="0.25">
      <c r="A1047">
        <v>1.5</v>
      </c>
      <c r="D1047">
        <v>3</v>
      </c>
      <c r="Q1047">
        <v>5</v>
      </c>
    </row>
    <row r="1048" spans="1:17" x14ac:dyDescent="0.25">
      <c r="A1048">
        <v>3.75</v>
      </c>
      <c r="D1048">
        <v>7.5</v>
      </c>
      <c r="Q1048">
        <v>3</v>
      </c>
    </row>
    <row r="1049" spans="1:17" x14ac:dyDescent="0.25">
      <c r="A1049">
        <v>6.25</v>
      </c>
      <c r="D1049">
        <v>7.5</v>
      </c>
      <c r="Q1049">
        <v>7.5</v>
      </c>
    </row>
    <row r="1050" spans="1:17" x14ac:dyDescent="0.25">
      <c r="A1050">
        <v>5</v>
      </c>
      <c r="D1050">
        <v>1.875</v>
      </c>
      <c r="Q1050">
        <v>12.75</v>
      </c>
    </row>
    <row r="1051" spans="1:17" x14ac:dyDescent="0.25">
      <c r="A1051">
        <v>1.5</v>
      </c>
      <c r="D1051">
        <v>6</v>
      </c>
      <c r="Q1051">
        <v>5</v>
      </c>
    </row>
    <row r="1052" spans="1:17" x14ac:dyDescent="0.25">
      <c r="A1052">
        <v>5</v>
      </c>
      <c r="D1052">
        <v>1.5</v>
      </c>
      <c r="Q1052">
        <v>7.5</v>
      </c>
    </row>
    <row r="1053" spans="1:17" x14ac:dyDescent="0.25">
      <c r="A1053">
        <v>9</v>
      </c>
      <c r="D1053">
        <v>4</v>
      </c>
      <c r="Q1053">
        <v>7.5</v>
      </c>
    </row>
    <row r="1054" spans="1:17" x14ac:dyDescent="0.25">
      <c r="A1054">
        <v>3</v>
      </c>
      <c r="D1054">
        <v>2</v>
      </c>
      <c r="Q1054">
        <v>3</v>
      </c>
    </row>
    <row r="1055" spans="1:17" x14ac:dyDescent="0.25">
      <c r="A1055">
        <v>4.75</v>
      </c>
      <c r="D1055">
        <v>5</v>
      </c>
      <c r="Q1055">
        <v>7.5</v>
      </c>
    </row>
    <row r="1056" spans="1:17" x14ac:dyDescent="0.25">
      <c r="A1056">
        <v>2.5</v>
      </c>
      <c r="D1056">
        <v>5</v>
      </c>
      <c r="Q1056">
        <v>2.75</v>
      </c>
    </row>
    <row r="1057" spans="1:17" x14ac:dyDescent="0.25">
      <c r="A1057">
        <v>5</v>
      </c>
      <c r="D1057">
        <v>5</v>
      </c>
      <c r="Q1057">
        <v>5</v>
      </c>
    </row>
    <row r="1058" spans="1:17" x14ac:dyDescent="0.25">
      <c r="A1058">
        <v>5</v>
      </c>
      <c r="D1058">
        <v>5</v>
      </c>
      <c r="Q1058">
        <v>2.25</v>
      </c>
    </row>
    <row r="1059" spans="1:17" x14ac:dyDescent="0.25">
      <c r="A1059">
        <v>5</v>
      </c>
      <c r="D1059">
        <v>5</v>
      </c>
      <c r="Q1059">
        <v>5.25</v>
      </c>
    </row>
    <row r="1060" spans="1:17" x14ac:dyDescent="0.25">
      <c r="A1060">
        <v>4.5</v>
      </c>
      <c r="D1060">
        <v>5</v>
      </c>
      <c r="Q1060">
        <v>5</v>
      </c>
    </row>
    <row r="1061" spans="1:17" x14ac:dyDescent="0.25">
      <c r="A1061">
        <v>5</v>
      </c>
      <c r="D1061">
        <v>5</v>
      </c>
      <c r="Q1061">
        <v>7.5</v>
      </c>
    </row>
    <row r="1062" spans="1:17" x14ac:dyDescent="0.25">
      <c r="A1062">
        <v>5</v>
      </c>
      <c r="D1062">
        <v>5</v>
      </c>
      <c r="Q1062">
        <v>3</v>
      </c>
    </row>
    <row r="1063" spans="1:17" x14ac:dyDescent="0.25">
      <c r="A1063">
        <v>5</v>
      </c>
      <c r="D1063">
        <v>4.5</v>
      </c>
      <c r="Q1063">
        <v>4</v>
      </c>
    </row>
    <row r="1064" spans="1:17" x14ac:dyDescent="0.25">
      <c r="A1064">
        <v>5</v>
      </c>
      <c r="D1064">
        <v>5</v>
      </c>
      <c r="Q1064">
        <v>5</v>
      </c>
    </row>
    <row r="1065" spans="1:17" x14ac:dyDescent="0.25">
      <c r="A1065">
        <v>6.5</v>
      </c>
      <c r="D1065">
        <v>7.5</v>
      </c>
      <c r="Q1065">
        <v>3</v>
      </c>
    </row>
    <row r="1066" spans="1:17" x14ac:dyDescent="0.25">
      <c r="A1066">
        <v>5</v>
      </c>
      <c r="D1066">
        <v>12</v>
      </c>
      <c r="Q1066">
        <v>5</v>
      </c>
    </row>
    <row r="1067" spans="1:17" x14ac:dyDescent="0.25">
      <c r="A1067">
        <v>4</v>
      </c>
      <c r="D1067">
        <v>7.5</v>
      </c>
      <c r="Q1067">
        <v>5</v>
      </c>
    </row>
    <row r="1068" spans="1:17" x14ac:dyDescent="0.25">
      <c r="A1068">
        <v>1</v>
      </c>
      <c r="D1068">
        <v>2</v>
      </c>
      <c r="Q1068">
        <v>5</v>
      </c>
    </row>
    <row r="1069" spans="1:17" x14ac:dyDescent="0.25">
      <c r="A1069">
        <v>5</v>
      </c>
      <c r="D1069">
        <v>8.625</v>
      </c>
      <c r="Q1069">
        <v>5</v>
      </c>
    </row>
    <row r="1070" spans="1:17" x14ac:dyDescent="0.25">
      <c r="A1070">
        <v>5</v>
      </c>
      <c r="D1070">
        <v>3.5</v>
      </c>
      <c r="Q1070">
        <v>5</v>
      </c>
    </row>
    <row r="1071" spans="1:17" x14ac:dyDescent="0.25">
      <c r="A1071">
        <v>1.25</v>
      </c>
      <c r="D1071">
        <v>3.75</v>
      </c>
      <c r="Q1071">
        <v>5</v>
      </c>
    </row>
    <row r="1072" spans="1:17" x14ac:dyDescent="0.25">
      <c r="A1072">
        <v>5</v>
      </c>
      <c r="D1072">
        <v>5</v>
      </c>
      <c r="Q1072">
        <v>3.25</v>
      </c>
    </row>
    <row r="1073" spans="1:17" x14ac:dyDescent="0.25">
      <c r="A1073">
        <v>6.75</v>
      </c>
      <c r="D1073">
        <v>5</v>
      </c>
      <c r="Q1073">
        <v>5</v>
      </c>
    </row>
    <row r="1074" spans="1:17" x14ac:dyDescent="0.25">
      <c r="A1074">
        <v>2.25</v>
      </c>
      <c r="D1074">
        <v>10.125</v>
      </c>
      <c r="Q1074">
        <v>7.5</v>
      </c>
    </row>
    <row r="1075" spans="1:17" x14ac:dyDescent="0.25">
      <c r="A1075">
        <v>5</v>
      </c>
      <c r="D1075">
        <v>5</v>
      </c>
      <c r="Q1075">
        <v>7.5</v>
      </c>
    </row>
    <row r="1076" spans="1:17" x14ac:dyDescent="0.25">
      <c r="A1076">
        <v>5</v>
      </c>
      <c r="D1076">
        <v>3</v>
      </c>
      <c r="Q1076">
        <v>7.5</v>
      </c>
    </row>
    <row r="1077" spans="1:17" x14ac:dyDescent="0.25">
      <c r="A1077">
        <v>1</v>
      </c>
      <c r="D1077">
        <v>5</v>
      </c>
      <c r="Q1077">
        <v>2.5</v>
      </c>
    </row>
    <row r="1078" spans="1:17" x14ac:dyDescent="0.25">
      <c r="A1078">
        <v>5</v>
      </c>
      <c r="D1078">
        <v>5</v>
      </c>
      <c r="Q1078">
        <v>6.75</v>
      </c>
    </row>
    <row r="1079" spans="1:17" x14ac:dyDescent="0.25">
      <c r="A1079">
        <v>5</v>
      </c>
      <c r="D1079">
        <v>4.25</v>
      </c>
      <c r="Q1079">
        <v>3</v>
      </c>
    </row>
    <row r="1080" spans="1:17" x14ac:dyDescent="0.25">
      <c r="A1080">
        <v>5.25</v>
      </c>
      <c r="D1080">
        <v>0.25</v>
      </c>
      <c r="Q1080">
        <v>7.5</v>
      </c>
    </row>
    <row r="1081" spans="1:17" x14ac:dyDescent="0.25">
      <c r="A1081">
        <v>7.5</v>
      </c>
      <c r="D1081">
        <v>7.5</v>
      </c>
      <c r="Q1081">
        <v>6.75</v>
      </c>
    </row>
    <row r="1082" spans="1:17" x14ac:dyDescent="0.25">
      <c r="A1082">
        <v>1.5</v>
      </c>
      <c r="D1082">
        <v>6.75</v>
      </c>
      <c r="Q1082">
        <v>2</v>
      </c>
    </row>
    <row r="1083" spans="1:17" x14ac:dyDescent="0.25">
      <c r="A1083">
        <v>4.5</v>
      </c>
      <c r="D1083">
        <v>7.5</v>
      </c>
      <c r="Q1083">
        <v>5</v>
      </c>
    </row>
    <row r="1084" spans="1:17" x14ac:dyDescent="0.25">
      <c r="A1084">
        <v>6.25</v>
      </c>
      <c r="D1084">
        <v>6</v>
      </c>
      <c r="Q1084">
        <v>3</v>
      </c>
    </row>
    <row r="1085" spans="1:17" x14ac:dyDescent="0.25">
      <c r="A1085">
        <v>1.75</v>
      </c>
      <c r="D1085">
        <v>0.5</v>
      </c>
      <c r="Q1085">
        <v>2.625</v>
      </c>
    </row>
    <row r="1086" spans="1:17" x14ac:dyDescent="0.25">
      <c r="A1086">
        <v>1</v>
      </c>
      <c r="D1086">
        <v>7.125</v>
      </c>
      <c r="Q1086">
        <v>7.5</v>
      </c>
    </row>
    <row r="1087" spans="1:17" x14ac:dyDescent="0.25">
      <c r="A1087">
        <v>4.5</v>
      </c>
      <c r="D1087">
        <v>7.5</v>
      </c>
      <c r="Q1087">
        <v>7.5</v>
      </c>
    </row>
    <row r="1088" spans="1:17" x14ac:dyDescent="0.25">
      <c r="A1088">
        <v>4.5</v>
      </c>
      <c r="D1088">
        <v>7.125</v>
      </c>
      <c r="Q1088">
        <v>2.625</v>
      </c>
    </row>
    <row r="1089" spans="1:17" x14ac:dyDescent="0.25">
      <c r="A1089">
        <v>6.375</v>
      </c>
      <c r="D1089">
        <v>7.5</v>
      </c>
      <c r="Q1089">
        <v>9.75</v>
      </c>
    </row>
    <row r="1090" spans="1:17" x14ac:dyDescent="0.25">
      <c r="A1090">
        <v>5</v>
      </c>
      <c r="D1090">
        <v>5</v>
      </c>
      <c r="Q1090">
        <v>6.25</v>
      </c>
    </row>
    <row r="1091" spans="1:17" x14ac:dyDescent="0.25">
      <c r="A1091">
        <v>5</v>
      </c>
      <c r="D1091">
        <v>1</v>
      </c>
      <c r="Q1091">
        <v>3.25</v>
      </c>
    </row>
    <row r="1092" spans="1:17" x14ac:dyDescent="0.25">
      <c r="A1092">
        <v>8</v>
      </c>
      <c r="D1092">
        <v>4.5</v>
      </c>
      <c r="Q1092">
        <v>5</v>
      </c>
    </row>
    <row r="1093" spans="1:17" x14ac:dyDescent="0.25">
      <c r="A1093">
        <v>4.25</v>
      </c>
      <c r="D1093">
        <v>1.75</v>
      </c>
      <c r="Q1093">
        <v>3.5</v>
      </c>
    </row>
    <row r="1094" spans="1:17" x14ac:dyDescent="0.25">
      <c r="A1094">
        <v>5</v>
      </c>
      <c r="D1094">
        <v>7.5</v>
      </c>
      <c r="Q1094">
        <v>5</v>
      </c>
    </row>
    <row r="1095" spans="1:17" x14ac:dyDescent="0.25">
      <c r="A1095">
        <v>3</v>
      </c>
      <c r="D1095">
        <v>5</v>
      </c>
      <c r="Q1095">
        <v>5</v>
      </c>
    </row>
    <row r="1096" spans="1:17" x14ac:dyDescent="0.25">
      <c r="A1096">
        <v>4.75</v>
      </c>
      <c r="D1096">
        <v>1.5</v>
      </c>
      <c r="Q1096">
        <v>5</v>
      </c>
    </row>
    <row r="1097" spans="1:17" x14ac:dyDescent="0.25">
      <c r="A1097">
        <v>6</v>
      </c>
      <c r="D1097">
        <v>1.25</v>
      </c>
      <c r="Q1097">
        <v>5</v>
      </c>
    </row>
    <row r="1098" spans="1:17" x14ac:dyDescent="0.25">
      <c r="A1098">
        <v>5</v>
      </c>
      <c r="D1098">
        <v>1.875</v>
      </c>
      <c r="Q1098">
        <v>3</v>
      </c>
    </row>
    <row r="1099" spans="1:17" x14ac:dyDescent="0.25">
      <c r="A1099">
        <v>5</v>
      </c>
      <c r="D1099">
        <v>5</v>
      </c>
      <c r="Q1099">
        <v>5</v>
      </c>
    </row>
    <row r="1100" spans="1:17" x14ac:dyDescent="0.25">
      <c r="A1100">
        <v>6.375</v>
      </c>
      <c r="D1100">
        <v>9</v>
      </c>
      <c r="Q1100">
        <v>5</v>
      </c>
    </row>
    <row r="1101" spans="1:17" x14ac:dyDescent="0.25">
      <c r="A1101">
        <v>1.5</v>
      </c>
      <c r="D1101">
        <v>7.875</v>
      </c>
      <c r="Q1101">
        <v>3</v>
      </c>
    </row>
    <row r="1102" spans="1:17" x14ac:dyDescent="0.25">
      <c r="A1102">
        <v>3.25</v>
      </c>
      <c r="D1102">
        <v>6</v>
      </c>
      <c r="Q1102">
        <v>5</v>
      </c>
    </row>
    <row r="1103" spans="1:17" x14ac:dyDescent="0.25">
      <c r="A1103">
        <v>5.25</v>
      </c>
      <c r="D1103">
        <v>1.5</v>
      </c>
      <c r="Q1103">
        <v>5</v>
      </c>
    </row>
    <row r="1104" spans="1:17" x14ac:dyDescent="0.25">
      <c r="A1104">
        <v>0.5</v>
      </c>
      <c r="D1104">
        <v>7.5</v>
      </c>
      <c r="Q1104">
        <v>5</v>
      </c>
    </row>
    <row r="1105" spans="1:17" x14ac:dyDescent="0.25">
      <c r="A1105">
        <v>1.125</v>
      </c>
      <c r="D1105">
        <v>7.5</v>
      </c>
      <c r="Q1105">
        <v>5</v>
      </c>
    </row>
    <row r="1106" spans="1:17" x14ac:dyDescent="0.25">
      <c r="A1106">
        <v>4.25</v>
      </c>
      <c r="D1106">
        <v>7.5</v>
      </c>
      <c r="Q1106">
        <v>5</v>
      </c>
    </row>
    <row r="1107" spans="1:17" x14ac:dyDescent="0.25">
      <c r="A1107">
        <v>1.5</v>
      </c>
      <c r="D1107">
        <v>7.5</v>
      </c>
      <c r="Q1107">
        <v>3</v>
      </c>
    </row>
    <row r="1108" spans="1:17" x14ac:dyDescent="0.25">
      <c r="A1108">
        <v>5</v>
      </c>
      <c r="D1108">
        <v>1.5</v>
      </c>
      <c r="Q1108">
        <v>1</v>
      </c>
    </row>
    <row r="1109" spans="1:17" x14ac:dyDescent="0.25">
      <c r="A1109">
        <v>3</v>
      </c>
      <c r="D1109">
        <v>1.5</v>
      </c>
      <c r="Q1109">
        <v>4</v>
      </c>
    </row>
    <row r="1110" spans="1:17" x14ac:dyDescent="0.25">
      <c r="A1110">
        <v>7.5</v>
      </c>
      <c r="D1110">
        <v>1</v>
      </c>
      <c r="Q1110">
        <v>5</v>
      </c>
    </row>
    <row r="1111" spans="1:17" x14ac:dyDescent="0.25">
      <c r="A1111">
        <v>13.5</v>
      </c>
      <c r="D1111">
        <v>10</v>
      </c>
      <c r="Q1111">
        <v>5</v>
      </c>
    </row>
    <row r="1112" spans="1:17" x14ac:dyDescent="0.25">
      <c r="A1112">
        <v>5</v>
      </c>
      <c r="D1112">
        <v>5</v>
      </c>
      <c r="Q1112">
        <v>5.25</v>
      </c>
    </row>
    <row r="1113" spans="1:17" x14ac:dyDescent="0.25">
      <c r="A1113">
        <v>5.75</v>
      </c>
      <c r="D1113">
        <v>1.5</v>
      </c>
      <c r="Q1113">
        <v>5</v>
      </c>
    </row>
    <row r="1114" spans="1:17" x14ac:dyDescent="0.25">
      <c r="A1114">
        <v>3.75</v>
      </c>
      <c r="D1114">
        <v>5</v>
      </c>
      <c r="Q1114">
        <v>5</v>
      </c>
    </row>
    <row r="1115" spans="1:17" x14ac:dyDescent="0.25">
      <c r="A1115">
        <v>4</v>
      </c>
      <c r="D1115">
        <v>5</v>
      </c>
      <c r="Q1115">
        <v>5</v>
      </c>
    </row>
    <row r="1116" spans="1:17" x14ac:dyDescent="0.25">
      <c r="A1116">
        <v>1.25</v>
      </c>
      <c r="D1116">
        <v>5</v>
      </c>
      <c r="Q1116">
        <v>5</v>
      </c>
    </row>
    <row r="1117" spans="1:17" x14ac:dyDescent="0.25">
      <c r="A1117">
        <v>1.25</v>
      </c>
      <c r="D1117">
        <v>0.75</v>
      </c>
      <c r="Q1117">
        <v>5</v>
      </c>
    </row>
    <row r="1118" spans="1:17" x14ac:dyDescent="0.25">
      <c r="A1118">
        <v>5</v>
      </c>
      <c r="D1118">
        <v>7.5</v>
      </c>
      <c r="Q1118">
        <v>3</v>
      </c>
    </row>
    <row r="1119" spans="1:17" x14ac:dyDescent="0.25">
      <c r="A1119">
        <v>5</v>
      </c>
      <c r="D1119">
        <v>5</v>
      </c>
      <c r="Q1119">
        <v>3</v>
      </c>
    </row>
    <row r="1120" spans="1:17" x14ac:dyDescent="0.25">
      <c r="A1120">
        <v>5</v>
      </c>
      <c r="D1120">
        <v>1.125</v>
      </c>
      <c r="Q1120">
        <v>5</v>
      </c>
    </row>
    <row r="1121" spans="1:17" x14ac:dyDescent="0.25">
      <c r="A1121">
        <v>4.75</v>
      </c>
      <c r="D1121">
        <v>6</v>
      </c>
      <c r="Q1121">
        <v>5</v>
      </c>
    </row>
    <row r="1122" spans="1:17" x14ac:dyDescent="0.25">
      <c r="A1122">
        <v>5</v>
      </c>
      <c r="D1122">
        <v>12</v>
      </c>
      <c r="Q1122">
        <v>5</v>
      </c>
    </row>
    <row r="1123" spans="1:17" x14ac:dyDescent="0.25">
      <c r="A1123">
        <v>5</v>
      </c>
      <c r="D1123">
        <v>10.5</v>
      </c>
      <c r="Q1123">
        <v>5</v>
      </c>
    </row>
    <row r="1124" spans="1:17" x14ac:dyDescent="0.25">
      <c r="A1124">
        <v>5</v>
      </c>
      <c r="D1124">
        <v>10.125</v>
      </c>
      <c r="Q1124">
        <v>5</v>
      </c>
    </row>
    <row r="1125" spans="1:17" x14ac:dyDescent="0.25">
      <c r="A1125">
        <v>1.75</v>
      </c>
      <c r="D1125">
        <v>4</v>
      </c>
      <c r="Q1125">
        <v>3.25</v>
      </c>
    </row>
    <row r="1126" spans="1:17" x14ac:dyDescent="0.25">
      <c r="A1126">
        <v>3</v>
      </c>
      <c r="D1126">
        <v>7.5</v>
      </c>
      <c r="Q1126">
        <v>5</v>
      </c>
    </row>
    <row r="1127" spans="1:17" x14ac:dyDescent="0.25">
      <c r="A1127">
        <v>5</v>
      </c>
      <c r="D1127">
        <v>7.5</v>
      </c>
      <c r="Q1127">
        <v>3</v>
      </c>
    </row>
    <row r="1128" spans="1:17" x14ac:dyDescent="0.25">
      <c r="A1128">
        <v>3</v>
      </c>
      <c r="D1128">
        <v>3.375</v>
      </c>
      <c r="Q1128">
        <v>5</v>
      </c>
    </row>
    <row r="1129" spans="1:17" x14ac:dyDescent="0.25">
      <c r="A1129">
        <v>6</v>
      </c>
      <c r="D1129">
        <v>1.25</v>
      </c>
      <c r="Q1129">
        <v>5</v>
      </c>
    </row>
    <row r="1130" spans="1:17" x14ac:dyDescent="0.25">
      <c r="A1130">
        <v>3.5</v>
      </c>
      <c r="D1130">
        <v>9</v>
      </c>
      <c r="Q1130">
        <v>5</v>
      </c>
    </row>
    <row r="1131" spans="1:17" x14ac:dyDescent="0.25">
      <c r="A1131">
        <v>10</v>
      </c>
      <c r="D1131">
        <v>10</v>
      </c>
      <c r="Q1131">
        <v>5</v>
      </c>
    </row>
    <row r="1132" spans="1:17" x14ac:dyDescent="0.25">
      <c r="A1132">
        <v>3.5</v>
      </c>
      <c r="D1132">
        <v>5</v>
      </c>
      <c r="Q1132">
        <v>5</v>
      </c>
    </row>
    <row r="1133" spans="1:17" x14ac:dyDescent="0.25">
      <c r="A1133">
        <v>5</v>
      </c>
      <c r="D1133">
        <v>2.625</v>
      </c>
      <c r="Q1133">
        <v>5</v>
      </c>
    </row>
    <row r="1134" spans="1:17" x14ac:dyDescent="0.25">
      <c r="A1134">
        <v>5</v>
      </c>
      <c r="D1134">
        <v>1.5</v>
      </c>
      <c r="Q1134">
        <v>5.75</v>
      </c>
    </row>
    <row r="1135" spans="1:17" x14ac:dyDescent="0.25">
      <c r="A1135">
        <v>5</v>
      </c>
      <c r="D1135">
        <v>5</v>
      </c>
      <c r="Q1135">
        <v>5</v>
      </c>
    </row>
    <row r="1136" spans="1:17" x14ac:dyDescent="0.25">
      <c r="A1136">
        <v>4</v>
      </c>
      <c r="D1136">
        <v>5</v>
      </c>
      <c r="Q1136">
        <v>5</v>
      </c>
    </row>
    <row r="1137" spans="1:17" x14ac:dyDescent="0.25">
      <c r="A1137">
        <v>8</v>
      </c>
      <c r="D1137">
        <v>3.75</v>
      </c>
      <c r="Q1137">
        <v>5</v>
      </c>
    </row>
    <row r="1138" spans="1:17" x14ac:dyDescent="0.25">
      <c r="A1138">
        <v>5</v>
      </c>
      <c r="D1138">
        <v>7.5</v>
      </c>
      <c r="Q1138">
        <v>5.5</v>
      </c>
    </row>
    <row r="1139" spans="1:17" x14ac:dyDescent="0.25">
      <c r="A1139">
        <v>5</v>
      </c>
      <c r="D1139">
        <v>11.625</v>
      </c>
      <c r="Q1139">
        <v>5</v>
      </c>
    </row>
    <row r="1140" spans="1:17" x14ac:dyDescent="0.25">
      <c r="A1140">
        <v>4.75</v>
      </c>
      <c r="D1140">
        <v>7.5</v>
      </c>
      <c r="Q1140">
        <v>2.5</v>
      </c>
    </row>
    <row r="1141" spans="1:17" x14ac:dyDescent="0.25">
      <c r="A1141">
        <v>5.25</v>
      </c>
      <c r="D1141">
        <v>7.5</v>
      </c>
      <c r="Q1141">
        <v>5</v>
      </c>
    </row>
    <row r="1142" spans="1:17" x14ac:dyDescent="0.25">
      <c r="A1142">
        <v>3.75</v>
      </c>
      <c r="D1142">
        <v>7.5</v>
      </c>
      <c r="Q1142">
        <v>5</v>
      </c>
    </row>
    <row r="1143" spans="1:17" x14ac:dyDescent="0.25">
      <c r="A1143">
        <v>5</v>
      </c>
      <c r="D1143">
        <v>9.75</v>
      </c>
      <c r="Q1143">
        <v>5.5</v>
      </c>
    </row>
    <row r="1144" spans="1:17" x14ac:dyDescent="0.25">
      <c r="A1144">
        <v>3.75</v>
      </c>
      <c r="D1144">
        <v>7.5</v>
      </c>
      <c r="Q1144">
        <v>5</v>
      </c>
    </row>
    <row r="1145" spans="1:17" x14ac:dyDescent="0.25">
      <c r="A1145">
        <v>5</v>
      </c>
      <c r="D1145">
        <v>10.5</v>
      </c>
      <c r="Q1145">
        <v>5</v>
      </c>
    </row>
    <row r="1146" spans="1:17" x14ac:dyDescent="0.25">
      <c r="A1146">
        <v>4</v>
      </c>
      <c r="D1146">
        <v>7.5</v>
      </c>
      <c r="Q1146">
        <v>7</v>
      </c>
    </row>
    <row r="1147" spans="1:17" x14ac:dyDescent="0.25">
      <c r="A1147">
        <v>4.875</v>
      </c>
      <c r="D1147">
        <v>7.5</v>
      </c>
      <c r="Q1147">
        <v>5</v>
      </c>
    </row>
    <row r="1148" spans="1:17" x14ac:dyDescent="0.25">
      <c r="A1148">
        <v>0.75</v>
      </c>
      <c r="D1148">
        <v>5.5</v>
      </c>
      <c r="Q1148">
        <v>5</v>
      </c>
    </row>
    <row r="1149" spans="1:17" x14ac:dyDescent="0.25">
      <c r="A1149">
        <v>5</v>
      </c>
      <c r="D1149">
        <v>6.375</v>
      </c>
      <c r="Q1149">
        <v>5</v>
      </c>
    </row>
    <row r="1150" spans="1:17" x14ac:dyDescent="0.25">
      <c r="A1150">
        <v>5</v>
      </c>
      <c r="D1150">
        <v>3.375</v>
      </c>
      <c r="Q1150">
        <v>5</v>
      </c>
    </row>
    <row r="1151" spans="1:17" x14ac:dyDescent="0.25">
      <c r="A1151">
        <v>3</v>
      </c>
      <c r="D1151">
        <v>5</v>
      </c>
      <c r="Q1151">
        <v>4</v>
      </c>
    </row>
    <row r="1152" spans="1:17" x14ac:dyDescent="0.25">
      <c r="A1152">
        <v>5</v>
      </c>
      <c r="D1152">
        <v>5</v>
      </c>
      <c r="Q1152">
        <v>5</v>
      </c>
    </row>
    <row r="1153" spans="1:17" x14ac:dyDescent="0.25">
      <c r="A1153">
        <v>2</v>
      </c>
      <c r="D1153">
        <v>6.75</v>
      </c>
      <c r="Q1153">
        <v>5</v>
      </c>
    </row>
    <row r="1154" spans="1:17" x14ac:dyDescent="0.25">
      <c r="A1154">
        <v>3.375</v>
      </c>
      <c r="D1154">
        <v>3.75</v>
      </c>
      <c r="Q1154">
        <v>5.5</v>
      </c>
    </row>
    <row r="1155" spans="1:17" x14ac:dyDescent="0.25">
      <c r="A1155">
        <v>2.75</v>
      </c>
      <c r="D1155">
        <v>5</v>
      </c>
      <c r="Q1155">
        <v>5</v>
      </c>
    </row>
    <row r="1156" spans="1:17" x14ac:dyDescent="0.25">
      <c r="A1156">
        <v>0.375</v>
      </c>
      <c r="D1156">
        <v>5</v>
      </c>
      <c r="Q1156">
        <v>5</v>
      </c>
    </row>
    <row r="1157" spans="1:17" x14ac:dyDescent="0.25">
      <c r="A1157">
        <v>9</v>
      </c>
      <c r="D1157">
        <v>5</v>
      </c>
      <c r="Q1157">
        <v>5</v>
      </c>
    </row>
    <row r="1158" spans="1:17" x14ac:dyDescent="0.25">
      <c r="A1158">
        <v>0.75</v>
      </c>
      <c r="D1158">
        <v>2.5</v>
      </c>
      <c r="Q1158">
        <v>5</v>
      </c>
    </row>
    <row r="1159" spans="1:17" x14ac:dyDescent="0.25">
      <c r="A1159">
        <v>1.25</v>
      </c>
      <c r="D1159">
        <v>9</v>
      </c>
      <c r="Q1159">
        <v>5</v>
      </c>
    </row>
    <row r="1160" spans="1:17" x14ac:dyDescent="0.25">
      <c r="A1160">
        <v>5</v>
      </c>
      <c r="D1160">
        <v>1</v>
      </c>
      <c r="Q1160">
        <v>1</v>
      </c>
    </row>
    <row r="1161" spans="1:17" x14ac:dyDescent="0.25">
      <c r="A1161">
        <v>5</v>
      </c>
      <c r="D1161">
        <v>1.5</v>
      </c>
      <c r="Q1161">
        <v>2.5</v>
      </c>
    </row>
    <row r="1162" spans="1:17" x14ac:dyDescent="0.25">
      <c r="A1162">
        <v>1</v>
      </c>
      <c r="D1162">
        <v>5</v>
      </c>
      <c r="Q1162">
        <v>6</v>
      </c>
    </row>
    <row r="1163" spans="1:17" x14ac:dyDescent="0.25">
      <c r="A1163">
        <v>5</v>
      </c>
      <c r="D1163">
        <v>1.5</v>
      </c>
      <c r="Q1163">
        <v>5</v>
      </c>
    </row>
    <row r="1164" spans="1:17" x14ac:dyDescent="0.25">
      <c r="A1164">
        <v>5</v>
      </c>
      <c r="D1164">
        <v>5</v>
      </c>
      <c r="Q1164">
        <v>5</v>
      </c>
    </row>
    <row r="1165" spans="1:17" x14ac:dyDescent="0.25">
      <c r="A1165">
        <v>3.25</v>
      </c>
      <c r="D1165">
        <v>5</v>
      </c>
      <c r="Q1165">
        <v>5.25</v>
      </c>
    </row>
    <row r="1166" spans="1:17" x14ac:dyDescent="0.25">
      <c r="A1166">
        <v>1.125</v>
      </c>
      <c r="D1166">
        <v>5</v>
      </c>
      <c r="Q1166">
        <v>5.25</v>
      </c>
    </row>
    <row r="1167" spans="1:17" x14ac:dyDescent="0.25">
      <c r="A1167">
        <v>4.75</v>
      </c>
      <c r="D1167">
        <v>5</v>
      </c>
      <c r="Q1167">
        <v>5</v>
      </c>
    </row>
    <row r="1168" spans="1:17" x14ac:dyDescent="0.25">
      <c r="A1168">
        <v>1.5</v>
      </c>
      <c r="D1168">
        <v>5</v>
      </c>
      <c r="Q1168">
        <v>7.25</v>
      </c>
    </row>
    <row r="1169" spans="1:17" x14ac:dyDescent="0.25">
      <c r="A1169">
        <v>5</v>
      </c>
      <c r="D1169">
        <v>5</v>
      </c>
      <c r="Q1169">
        <v>1.5</v>
      </c>
    </row>
    <row r="1170" spans="1:17" x14ac:dyDescent="0.25">
      <c r="A1170">
        <v>4.75</v>
      </c>
      <c r="D1170">
        <v>5</v>
      </c>
      <c r="Q1170">
        <v>7</v>
      </c>
    </row>
    <row r="1171" spans="1:17" x14ac:dyDescent="0.25">
      <c r="A1171">
        <v>1.5</v>
      </c>
      <c r="D1171">
        <v>5</v>
      </c>
      <c r="Q1171">
        <v>5.25</v>
      </c>
    </row>
    <row r="1172" spans="1:17" x14ac:dyDescent="0.25">
      <c r="A1172">
        <v>5</v>
      </c>
      <c r="D1172">
        <v>5</v>
      </c>
      <c r="Q1172">
        <v>5</v>
      </c>
    </row>
    <row r="1173" spans="1:17" x14ac:dyDescent="0.25">
      <c r="A1173">
        <v>10</v>
      </c>
      <c r="D1173">
        <v>5</v>
      </c>
      <c r="Q1173">
        <v>3</v>
      </c>
    </row>
    <row r="1174" spans="1:17" x14ac:dyDescent="0.25">
      <c r="A1174">
        <v>3</v>
      </c>
      <c r="D1174">
        <v>4.75</v>
      </c>
      <c r="Q1174">
        <v>4.5</v>
      </c>
    </row>
    <row r="1175" spans="1:17" x14ac:dyDescent="0.25">
      <c r="A1175">
        <v>5</v>
      </c>
      <c r="D1175">
        <v>6</v>
      </c>
      <c r="Q1175">
        <v>5</v>
      </c>
    </row>
    <row r="1176" spans="1:17" x14ac:dyDescent="0.25">
      <c r="A1176">
        <v>5.25</v>
      </c>
      <c r="D1176">
        <v>5</v>
      </c>
      <c r="Q1176">
        <v>5</v>
      </c>
    </row>
    <row r="1177" spans="1:17" x14ac:dyDescent="0.25">
      <c r="A1177">
        <v>1.25</v>
      </c>
      <c r="D1177">
        <v>0.25</v>
      </c>
      <c r="Q1177">
        <v>5</v>
      </c>
    </row>
    <row r="1178" spans="1:17" x14ac:dyDescent="0.25">
      <c r="A1178">
        <v>5.5</v>
      </c>
      <c r="D1178">
        <v>5</v>
      </c>
      <c r="Q1178">
        <v>5</v>
      </c>
    </row>
    <row r="1179" spans="1:17" x14ac:dyDescent="0.25">
      <c r="A1179">
        <v>1.5</v>
      </c>
      <c r="D1179">
        <v>5</v>
      </c>
      <c r="Q1179">
        <v>5</v>
      </c>
    </row>
    <row r="1180" spans="1:17" x14ac:dyDescent="0.25">
      <c r="A1180">
        <v>1.875</v>
      </c>
      <c r="D1180">
        <v>5</v>
      </c>
      <c r="Q1180">
        <v>5</v>
      </c>
    </row>
    <row r="1181" spans="1:17" x14ac:dyDescent="0.25">
      <c r="A1181">
        <v>4.5</v>
      </c>
      <c r="D1181">
        <v>5</v>
      </c>
      <c r="Q1181">
        <v>5</v>
      </c>
    </row>
    <row r="1182" spans="1:17" x14ac:dyDescent="0.25">
      <c r="A1182">
        <v>5</v>
      </c>
      <c r="D1182">
        <v>5</v>
      </c>
      <c r="Q1182">
        <v>5</v>
      </c>
    </row>
    <row r="1183" spans="1:17" x14ac:dyDescent="0.25">
      <c r="A1183">
        <v>5</v>
      </c>
      <c r="D1183">
        <v>4</v>
      </c>
      <c r="Q1183">
        <v>5</v>
      </c>
    </row>
    <row r="1184" spans="1:17" x14ac:dyDescent="0.25">
      <c r="A1184">
        <v>5</v>
      </c>
      <c r="D1184">
        <v>5</v>
      </c>
      <c r="Q1184">
        <v>4</v>
      </c>
    </row>
    <row r="1185" spans="1:17" x14ac:dyDescent="0.25">
      <c r="A1185">
        <v>3</v>
      </c>
      <c r="D1185">
        <v>10</v>
      </c>
      <c r="Q1185">
        <v>5</v>
      </c>
    </row>
    <row r="1186" spans="1:17" x14ac:dyDescent="0.25">
      <c r="A1186">
        <v>5</v>
      </c>
      <c r="D1186">
        <v>1</v>
      </c>
      <c r="Q1186">
        <v>5</v>
      </c>
    </row>
    <row r="1187" spans="1:17" x14ac:dyDescent="0.25">
      <c r="A1187">
        <v>1.25</v>
      </c>
      <c r="D1187">
        <v>5</v>
      </c>
      <c r="Q1187">
        <v>5</v>
      </c>
    </row>
    <row r="1188" spans="1:17" x14ac:dyDescent="0.25">
      <c r="A1188">
        <v>5</v>
      </c>
      <c r="D1188">
        <v>4</v>
      </c>
      <c r="Q1188">
        <v>5</v>
      </c>
    </row>
    <row r="1189" spans="1:17" x14ac:dyDescent="0.25">
      <c r="A1189">
        <v>0.375</v>
      </c>
      <c r="D1189">
        <v>1</v>
      </c>
      <c r="Q1189">
        <v>5</v>
      </c>
    </row>
    <row r="1190" spans="1:17" x14ac:dyDescent="0.25">
      <c r="A1190">
        <v>5</v>
      </c>
      <c r="D1190">
        <v>5</v>
      </c>
      <c r="Q1190">
        <v>5</v>
      </c>
    </row>
    <row r="1191" spans="1:17" x14ac:dyDescent="0.25">
      <c r="A1191">
        <v>5</v>
      </c>
      <c r="D1191">
        <v>5</v>
      </c>
      <c r="Q1191">
        <v>5</v>
      </c>
    </row>
    <row r="1192" spans="1:17" x14ac:dyDescent="0.25">
      <c r="A1192">
        <v>5</v>
      </c>
      <c r="D1192">
        <v>4</v>
      </c>
      <c r="Q1192">
        <v>5</v>
      </c>
    </row>
    <row r="1193" spans="1:17" x14ac:dyDescent="0.25">
      <c r="A1193">
        <v>5</v>
      </c>
      <c r="D1193">
        <v>5</v>
      </c>
      <c r="Q1193">
        <v>5</v>
      </c>
    </row>
    <row r="1194" spans="1:17" x14ac:dyDescent="0.25">
      <c r="A1194">
        <v>5</v>
      </c>
      <c r="D1194">
        <v>5</v>
      </c>
      <c r="Q1194">
        <v>5</v>
      </c>
    </row>
    <row r="1195" spans="1:17" x14ac:dyDescent="0.25">
      <c r="A1195">
        <v>2.5</v>
      </c>
      <c r="D1195">
        <v>5</v>
      </c>
      <c r="Q1195">
        <v>5</v>
      </c>
    </row>
    <row r="1196" spans="1:17" x14ac:dyDescent="0.25">
      <c r="A1196">
        <v>5.75</v>
      </c>
      <c r="D1196">
        <v>4</v>
      </c>
      <c r="Q1196">
        <v>3</v>
      </c>
    </row>
    <row r="1197" spans="1:17" x14ac:dyDescent="0.25">
      <c r="A1197">
        <v>3.75</v>
      </c>
      <c r="D1197">
        <v>5</v>
      </c>
      <c r="Q1197">
        <v>5</v>
      </c>
    </row>
    <row r="1198" spans="1:17" x14ac:dyDescent="0.25">
      <c r="A1198">
        <v>5</v>
      </c>
      <c r="D1198">
        <v>9</v>
      </c>
      <c r="Q1198">
        <v>5</v>
      </c>
    </row>
    <row r="1199" spans="1:17" x14ac:dyDescent="0.25">
      <c r="A1199">
        <v>5</v>
      </c>
      <c r="D1199">
        <v>4.25</v>
      </c>
      <c r="Q1199">
        <v>5</v>
      </c>
    </row>
    <row r="1200" spans="1:17" x14ac:dyDescent="0.25">
      <c r="A1200">
        <v>3.5</v>
      </c>
      <c r="D1200">
        <v>5</v>
      </c>
      <c r="Q1200">
        <v>5</v>
      </c>
    </row>
    <row r="1201" spans="1:17" x14ac:dyDescent="0.25">
      <c r="A1201">
        <v>5</v>
      </c>
      <c r="D1201">
        <v>2.5</v>
      </c>
      <c r="Q1201">
        <v>5.75</v>
      </c>
    </row>
    <row r="1202" spans="1:17" x14ac:dyDescent="0.25">
      <c r="A1202">
        <v>5</v>
      </c>
      <c r="D1202">
        <v>5</v>
      </c>
      <c r="Q1202">
        <v>5</v>
      </c>
    </row>
    <row r="1203" spans="1:17" x14ac:dyDescent="0.25">
      <c r="A1203">
        <v>10</v>
      </c>
      <c r="D1203">
        <v>3.5</v>
      </c>
      <c r="Q1203">
        <v>3</v>
      </c>
    </row>
    <row r="1204" spans="1:17" x14ac:dyDescent="0.25">
      <c r="A1204">
        <v>5</v>
      </c>
      <c r="D1204">
        <v>5</v>
      </c>
      <c r="Q1204">
        <v>5</v>
      </c>
    </row>
    <row r="1205" spans="1:17" x14ac:dyDescent="0.25">
      <c r="A1205">
        <v>5</v>
      </c>
      <c r="D1205">
        <v>5</v>
      </c>
      <c r="Q1205">
        <v>5</v>
      </c>
    </row>
    <row r="1206" spans="1:17" x14ac:dyDescent="0.25">
      <c r="A1206">
        <v>4.5</v>
      </c>
      <c r="D1206">
        <v>5</v>
      </c>
      <c r="Q1206">
        <v>5</v>
      </c>
    </row>
    <row r="1207" spans="1:17" x14ac:dyDescent="0.25">
      <c r="A1207">
        <v>5</v>
      </c>
      <c r="D1207">
        <v>5</v>
      </c>
      <c r="Q1207">
        <v>5.25</v>
      </c>
    </row>
    <row r="1208" spans="1:17" x14ac:dyDescent="0.25">
      <c r="A1208">
        <v>5</v>
      </c>
      <c r="D1208">
        <v>5</v>
      </c>
      <c r="Q1208">
        <v>5</v>
      </c>
    </row>
    <row r="1209" spans="1:17" x14ac:dyDescent="0.25">
      <c r="A1209">
        <v>5</v>
      </c>
      <c r="D1209">
        <v>5</v>
      </c>
      <c r="Q1209">
        <v>2</v>
      </c>
    </row>
    <row r="1210" spans="1:17" x14ac:dyDescent="0.25">
      <c r="A1210">
        <v>9.375</v>
      </c>
      <c r="D1210">
        <v>5</v>
      </c>
      <c r="Q1210">
        <v>5</v>
      </c>
    </row>
    <row r="1211" spans="1:17" x14ac:dyDescent="0.25">
      <c r="A1211">
        <v>5</v>
      </c>
      <c r="D1211">
        <v>4</v>
      </c>
      <c r="Q1211">
        <v>5</v>
      </c>
    </row>
    <row r="1212" spans="1:17" x14ac:dyDescent="0.25">
      <c r="A1212">
        <v>3.5</v>
      </c>
      <c r="D1212">
        <v>1</v>
      </c>
      <c r="Q1212">
        <v>5</v>
      </c>
    </row>
    <row r="1213" spans="1:17" x14ac:dyDescent="0.25">
      <c r="A1213">
        <v>3</v>
      </c>
      <c r="D1213">
        <v>5</v>
      </c>
      <c r="Q1213">
        <v>5.5</v>
      </c>
    </row>
    <row r="1214" spans="1:17" x14ac:dyDescent="0.25">
      <c r="A1214">
        <v>4.75</v>
      </c>
      <c r="D1214">
        <v>5</v>
      </c>
      <c r="Q1214">
        <v>5</v>
      </c>
    </row>
    <row r="1215" spans="1:17" x14ac:dyDescent="0.25">
      <c r="A1215">
        <v>5</v>
      </c>
      <c r="D1215">
        <v>5</v>
      </c>
      <c r="Q1215">
        <v>5.5</v>
      </c>
    </row>
    <row r="1216" spans="1:17" x14ac:dyDescent="0.25">
      <c r="A1216">
        <v>5</v>
      </c>
      <c r="D1216">
        <v>5</v>
      </c>
      <c r="Q1216">
        <v>5</v>
      </c>
    </row>
    <row r="1217" spans="1:17" x14ac:dyDescent="0.25">
      <c r="A1217">
        <v>5</v>
      </c>
      <c r="D1217">
        <v>4</v>
      </c>
      <c r="Q1217">
        <v>5</v>
      </c>
    </row>
    <row r="1218" spans="1:17" x14ac:dyDescent="0.25">
      <c r="A1218">
        <v>10</v>
      </c>
      <c r="D1218">
        <v>1.25</v>
      </c>
      <c r="Q1218">
        <v>4</v>
      </c>
    </row>
    <row r="1219" spans="1:17" x14ac:dyDescent="0.25">
      <c r="A1219">
        <v>5</v>
      </c>
      <c r="D1219">
        <v>5</v>
      </c>
      <c r="Q1219">
        <v>5</v>
      </c>
    </row>
    <row r="1220" spans="1:17" x14ac:dyDescent="0.25">
      <c r="A1220">
        <v>5</v>
      </c>
      <c r="D1220">
        <v>5</v>
      </c>
      <c r="Q1220">
        <v>4.25</v>
      </c>
    </row>
    <row r="1221" spans="1:17" x14ac:dyDescent="0.25">
      <c r="A1221">
        <v>3.5</v>
      </c>
      <c r="D1221">
        <v>5</v>
      </c>
      <c r="Q1221">
        <v>5</v>
      </c>
    </row>
    <row r="1222" spans="1:17" x14ac:dyDescent="0.25">
      <c r="A1222">
        <v>5</v>
      </c>
      <c r="D1222">
        <v>5</v>
      </c>
      <c r="Q1222">
        <v>5</v>
      </c>
    </row>
    <row r="1223" spans="1:17" x14ac:dyDescent="0.25">
      <c r="A1223">
        <v>4.5</v>
      </c>
      <c r="D1223">
        <v>5</v>
      </c>
      <c r="Q1223">
        <v>5.5</v>
      </c>
    </row>
    <row r="1224" spans="1:17" x14ac:dyDescent="0.25">
      <c r="A1224">
        <v>6</v>
      </c>
      <c r="D1224">
        <v>1</v>
      </c>
      <c r="Q1224">
        <v>4</v>
      </c>
    </row>
    <row r="1225" spans="1:17" x14ac:dyDescent="0.25">
      <c r="A1225">
        <v>5</v>
      </c>
      <c r="D1225">
        <v>5</v>
      </c>
      <c r="Q1225">
        <v>4</v>
      </c>
    </row>
    <row r="1226" spans="1:17" x14ac:dyDescent="0.25">
      <c r="A1226">
        <v>1</v>
      </c>
      <c r="D1226">
        <v>2.5</v>
      </c>
      <c r="Q1226">
        <v>5</v>
      </c>
    </row>
    <row r="1227" spans="1:17" x14ac:dyDescent="0.25">
      <c r="A1227">
        <v>4.25</v>
      </c>
      <c r="D1227">
        <v>5</v>
      </c>
      <c r="Q1227">
        <v>5</v>
      </c>
    </row>
    <row r="1228" spans="1:17" x14ac:dyDescent="0.25">
      <c r="A1228">
        <v>3.375</v>
      </c>
      <c r="D1228">
        <v>5</v>
      </c>
      <c r="Q1228">
        <v>5</v>
      </c>
    </row>
    <row r="1229" spans="1:17" x14ac:dyDescent="0.25">
      <c r="A1229">
        <v>1.75</v>
      </c>
      <c r="D1229">
        <v>5</v>
      </c>
      <c r="Q1229">
        <v>5</v>
      </c>
    </row>
    <row r="1230" spans="1:17" x14ac:dyDescent="0.25">
      <c r="A1230">
        <v>5</v>
      </c>
      <c r="D1230">
        <v>5.25</v>
      </c>
      <c r="Q1230">
        <v>2.5</v>
      </c>
    </row>
    <row r="1231" spans="1:17" x14ac:dyDescent="0.25">
      <c r="A1231">
        <v>5</v>
      </c>
      <c r="D1231">
        <v>10</v>
      </c>
      <c r="Q1231">
        <v>5</v>
      </c>
    </row>
    <row r="1232" spans="1:17" x14ac:dyDescent="0.25">
      <c r="A1232">
        <v>3.5</v>
      </c>
      <c r="D1232">
        <v>2.5</v>
      </c>
      <c r="Q1232">
        <v>4.75</v>
      </c>
    </row>
    <row r="1233" spans="1:17" x14ac:dyDescent="0.25">
      <c r="A1233">
        <v>8</v>
      </c>
      <c r="D1233">
        <v>5</v>
      </c>
      <c r="Q1233">
        <v>1.25</v>
      </c>
    </row>
    <row r="1234" spans="1:17" x14ac:dyDescent="0.25">
      <c r="A1234">
        <v>5</v>
      </c>
      <c r="D1234">
        <v>5</v>
      </c>
      <c r="Q1234">
        <v>5</v>
      </c>
    </row>
    <row r="1235" spans="1:17" x14ac:dyDescent="0.25">
      <c r="A1235">
        <v>4.5</v>
      </c>
      <c r="D1235">
        <v>4</v>
      </c>
      <c r="Q1235">
        <v>5</v>
      </c>
    </row>
    <row r="1236" spans="1:17" x14ac:dyDescent="0.25">
      <c r="A1236">
        <v>4</v>
      </c>
      <c r="D1236">
        <v>2.5</v>
      </c>
      <c r="Q1236">
        <v>5</v>
      </c>
    </row>
    <row r="1237" spans="1:17" x14ac:dyDescent="0.25">
      <c r="A1237">
        <v>5</v>
      </c>
      <c r="D1237">
        <v>5</v>
      </c>
      <c r="Q1237">
        <v>5</v>
      </c>
    </row>
    <row r="1238" spans="1:17" x14ac:dyDescent="0.25">
      <c r="A1238">
        <v>5</v>
      </c>
      <c r="D1238">
        <v>5</v>
      </c>
      <c r="Q1238">
        <v>5</v>
      </c>
    </row>
    <row r="1239" spans="1:17" x14ac:dyDescent="0.25">
      <c r="A1239">
        <v>5</v>
      </c>
      <c r="D1239">
        <v>10</v>
      </c>
      <c r="Q1239">
        <v>7.25</v>
      </c>
    </row>
    <row r="1240" spans="1:17" x14ac:dyDescent="0.25">
      <c r="A1240">
        <v>5</v>
      </c>
      <c r="D1240">
        <v>5</v>
      </c>
      <c r="Q1240">
        <v>6.5</v>
      </c>
    </row>
    <row r="1241" spans="1:17" x14ac:dyDescent="0.25">
      <c r="A1241">
        <v>5</v>
      </c>
      <c r="D1241">
        <v>3.5</v>
      </c>
      <c r="Q1241">
        <v>2.5</v>
      </c>
    </row>
    <row r="1242" spans="1:17" x14ac:dyDescent="0.25">
      <c r="A1242">
        <v>3.5</v>
      </c>
      <c r="D1242">
        <v>5</v>
      </c>
      <c r="Q1242">
        <v>5</v>
      </c>
    </row>
    <row r="1243" spans="1:17" x14ac:dyDescent="0.25">
      <c r="A1243">
        <v>5</v>
      </c>
      <c r="D1243">
        <v>5</v>
      </c>
      <c r="Q1243">
        <v>5</v>
      </c>
    </row>
    <row r="1244" spans="1:17" x14ac:dyDescent="0.25">
      <c r="A1244">
        <v>1</v>
      </c>
      <c r="D1244">
        <v>10</v>
      </c>
      <c r="Q1244">
        <v>6.5</v>
      </c>
    </row>
    <row r="1245" spans="1:17" x14ac:dyDescent="0.25">
      <c r="A1245">
        <v>5</v>
      </c>
      <c r="D1245">
        <v>3</v>
      </c>
      <c r="Q1245">
        <v>5</v>
      </c>
    </row>
    <row r="1246" spans="1:17" x14ac:dyDescent="0.25">
      <c r="A1246">
        <v>5</v>
      </c>
      <c r="D1246">
        <v>5</v>
      </c>
      <c r="Q1246">
        <v>6.5</v>
      </c>
    </row>
    <row r="1247" spans="1:17" x14ac:dyDescent="0.25">
      <c r="A1247">
        <v>9.75</v>
      </c>
      <c r="D1247">
        <v>5</v>
      </c>
      <c r="Q1247">
        <v>5</v>
      </c>
    </row>
    <row r="1248" spans="1:17" x14ac:dyDescent="0.25">
      <c r="A1248">
        <v>4</v>
      </c>
      <c r="D1248">
        <v>5.25</v>
      </c>
      <c r="Q1248">
        <v>5</v>
      </c>
    </row>
    <row r="1249" spans="1:17" x14ac:dyDescent="0.25">
      <c r="A1249">
        <v>1</v>
      </c>
      <c r="D1249">
        <v>5</v>
      </c>
      <c r="Q1249">
        <v>5</v>
      </c>
    </row>
    <row r="1250" spans="1:17" x14ac:dyDescent="0.25">
      <c r="A1250">
        <v>5</v>
      </c>
      <c r="D1250">
        <v>5</v>
      </c>
      <c r="Q1250">
        <v>5.25</v>
      </c>
    </row>
    <row r="1251" spans="1:17" x14ac:dyDescent="0.25">
      <c r="A1251">
        <v>5</v>
      </c>
      <c r="D1251">
        <v>5</v>
      </c>
      <c r="Q1251">
        <v>5</v>
      </c>
    </row>
    <row r="1252" spans="1:17" x14ac:dyDescent="0.25">
      <c r="A1252">
        <v>5</v>
      </c>
      <c r="D1252">
        <v>5</v>
      </c>
      <c r="Q1252">
        <v>2.5</v>
      </c>
    </row>
    <row r="1253" spans="1:17" x14ac:dyDescent="0.25">
      <c r="A1253">
        <v>5</v>
      </c>
      <c r="D1253">
        <v>5</v>
      </c>
      <c r="Q1253">
        <v>5</v>
      </c>
    </row>
    <row r="1254" spans="1:17" x14ac:dyDescent="0.25">
      <c r="A1254">
        <v>5</v>
      </c>
      <c r="D1254">
        <v>5</v>
      </c>
      <c r="Q1254">
        <v>5</v>
      </c>
    </row>
    <row r="1255" spans="1:17" x14ac:dyDescent="0.25">
      <c r="A1255">
        <v>5</v>
      </c>
      <c r="D1255">
        <v>5</v>
      </c>
      <c r="Q1255">
        <v>5</v>
      </c>
    </row>
    <row r="1256" spans="1:17" x14ac:dyDescent="0.25">
      <c r="A1256">
        <v>5</v>
      </c>
      <c r="D1256">
        <v>2.25</v>
      </c>
      <c r="Q1256">
        <v>5</v>
      </c>
    </row>
    <row r="1257" spans="1:17" x14ac:dyDescent="0.25">
      <c r="A1257">
        <v>5</v>
      </c>
      <c r="D1257">
        <v>5</v>
      </c>
      <c r="Q1257">
        <v>2</v>
      </c>
    </row>
    <row r="1258" spans="1:17" x14ac:dyDescent="0.25">
      <c r="A1258">
        <v>5</v>
      </c>
      <c r="D1258">
        <v>5</v>
      </c>
      <c r="Q1258">
        <v>5</v>
      </c>
    </row>
    <row r="1259" spans="1:17" x14ac:dyDescent="0.25">
      <c r="A1259">
        <v>5</v>
      </c>
      <c r="D1259">
        <v>5</v>
      </c>
      <c r="Q1259">
        <v>5</v>
      </c>
    </row>
    <row r="1260" spans="1:17" x14ac:dyDescent="0.25">
      <c r="A1260">
        <v>5</v>
      </c>
      <c r="D1260">
        <v>5</v>
      </c>
      <c r="Q1260">
        <v>5</v>
      </c>
    </row>
    <row r="1261" spans="1:17" x14ac:dyDescent="0.25">
      <c r="A1261">
        <v>5</v>
      </c>
      <c r="D1261">
        <v>5</v>
      </c>
      <c r="Q1261">
        <v>3</v>
      </c>
    </row>
    <row r="1262" spans="1:17" x14ac:dyDescent="0.25">
      <c r="A1262">
        <v>8</v>
      </c>
      <c r="D1262">
        <v>5</v>
      </c>
      <c r="Q1262">
        <v>5</v>
      </c>
    </row>
    <row r="1263" spans="1:17" x14ac:dyDescent="0.25">
      <c r="A1263">
        <v>8</v>
      </c>
      <c r="D1263">
        <v>5</v>
      </c>
      <c r="Q1263">
        <v>3</v>
      </c>
    </row>
    <row r="1264" spans="1:17" x14ac:dyDescent="0.25">
      <c r="A1264">
        <v>5</v>
      </c>
      <c r="D1264">
        <v>5</v>
      </c>
      <c r="Q1264">
        <v>5</v>
      </c>
    </row>
    <row r="1265" spans="1:17" x14ac:dyDescent="0.25">
      <c r="A1265">
        <v>5</v>
      </c>
      <c r="D1265">
        <v>5</v>
      </c>
      <c r="Q1265">
        <v>7.25</v>
      </c>
    </row>
    <row r="1266" spans="1:17" x14ac:dyDescent="0.25">
      <c r="A1266">
        <v>5</v>
      </c>
      <c r="D1266">
        <v>5</v>
      </c>
      <c r="Q1266">
        <v>5</v>
      </c>
    </row>
    <row r="1267" spans="1:17" x14ac:dyDescent="0.25">
      <c r="A1267">
        <v>5</v>
      </c>
      <c r="D1267">
        <v>5</v>
      </c>
      <c r="Q1267">
        <v>5</v>
      </c>
    </row>
    <row r="1268" spans="1:17" x14ac:dyDescent="0.25">
      <c r="A1268">
        <v>5</v>
      </c>
      <c r="D1268">
        <v>2.5</v>
      </c>
      <c r="Q1268">
        <v>5</v>
      </c>
    </row>
    <row r="1269" spans="1:17" x14ac:dyDescent="0.25">
      <c r="A1269">
        <v>3</v>
      </c>
      <c r="D1269">
        <v>9</v>
      </c>
      <c r="Q1269">
        <v>5</v>
      </c>
    </row>
    <row r="1270" spans="1:17" x14ac:dyDescent="0.25">
      <c r="A1270">
        <v>5</v>
      </c>
      <c r="D1270">
        <v>5</v>
      </c>
      <c r="Q1270">
        <v>5</v>
      </c>
    </row>
    <row r="1271" spans="1:17" x14ac:dyDescent="0.25">
      <c r="A1271">
        <v>5</v>
      </c>
      <c r="D1271">
        <v>5.5</v>
      </c>
      <c r="Q1271">
        <v>3.5</v>
      </c>
    </row>
    <row r="1272" spans="1:17" x14ac:dyDescent="0.25">
      <c r="A1272">
        <v>5</v>
      </c>
      <c r="D1272">
        <v>13.5</v>
      </c>
      <c r="Q1272">
        <v>5</v>
      </c>
    </row>
    <row r="1273" spans="1:17" x14ac:dyDescent="0.25">
      <c r="A1273">
        <v>8</v>
      </c>
      <c r="D1273">
        <v>5</v>
      </c>
      <c r="Q1273">
        <v>5.75</v>
      </c>
    </row>
    <row r="1274" spans="1:17" x14ac:dyDescent="0.25">
      <c r="A1274">
        <v>4.5</v>
      </c>
      <c r="D1274">
        <v>2.5</v>
      </c>
      <c r="Q1274">
        <v>5</v>
      </c>
    </row>
    <row r="1275" spans="1:17" x14ac:dyDescent="0.25">
      <c r="A1275">
        <v>4.25</v>
      </c>
      <c r="D1275">
        <v>7</v>
      </c>
      <c r="Q1275">
        <v>4.5</v>
      </c>
    </row>
    <row r="1276" spans="1:17" x14ac:dyDescent="0.25">
      <c r="A1276">
        <v>1</v>
      </c>
      <c r="D1276">
        <v>9</v>
      </c>
      <c r="Q1276">
        <v>5</v>
      </c>
    </row>
    <row r="1277" spans="1:17" x14ac:dyDescent="0.25">
      <c r="A1277">
        <v>9</v>
      </c>
      <c r="D1277">
        <v>5</v>
      </c>
      <c r="Q1277">
        <v>0.75</v>
      </c>
    </row>
    <row r="1278" spans="1:17" x14ac:dyDescent="0.25">
      <c r="A1278">
        <v>5</v>
      </c>
      <c r="D1278">
        <v>5</v>
      </c>
      <c r="Q1278">
        <v>5</v>
      </c>
    </row>
    <row r="1279" spans="1:17" x14ac:dyDescent="0.25">
      <c r="A1279">
        <v>5</v>
      </c>
      <c r="D1279">
        <v>5</v>
      </c>
      <c r="Q1279">
        <v>5</v>
      </c>
    </row>
    <row r="1280" spans="1:17" x14ac:dyDescent="0.25">
      <c r="A1280">
        <v>5.25</v>
      </c>
      <c r="D1280">
        <v>4</v>
      </c>
      <c r="Q1280">
        <v>3</v>
      </c>
    </row>
    <row r="1281" spans="1:17" x14ac:dyDescent="0.25">
      <c r="A1281">
        <v>5</v>
      </c>
      <c r="D1281">
        <v>5.5</v>
      </c>
      <c r="Q1281">
        <v>5</v>
      </c>
    </row>
    <row r="1282" spans="1:17" x14ac:dyDescent="0.25">
      <c r="A1282">
        <v>6.5</v>
      </c>
      <c r="D1282">
        <v>5</v>
      </c>
      <c r="Q1282">
        <v>2</v>
      </c>
    </row>
    <row r="1283" spans="1:17" x14ac:dyDescent="0.25">
      <c r="A1283">
        <v>5</v>
      </c>
      <c r="D1283">
        <v>7</v>
      </c>
      <c r="Q1283">
        <v>3.375</v>
      </c>
    </row>
    <row r="1284" spans="1:17" x14ac:dyDescent="0.25">
      <c r="A1284">
        <v>5</v>
      </c>
      <c r="D1284">
        <v>5</v>
      </c>
      <c r="Q1284">
        <v>2.75</v>
      </c>
    </row>
    <row r="1285" spans="1:17" x14ac:dyDescent="0.25">
      <c r="A1285">
        <v>5</v>
      </c>
      <c r="D1285">
        <v>5</v>
      </c>
      <c r="Q1285">
        <v>5</v>
      </c>
    </row>
    <row r="1286" spans="1:17" x14ac:dyDescent="0.25">
      <c r="A1286">
        <v>5.25</v>
      </c>
      <c r="D1286">
        <v>1</v>
      </c>
      <c r="Q1286">
        <v>5</v>
      </c>
    </row>
    <row r="1287" spans="1:17" x14ac:dyDescent="0.25">
      <c r="A1287">
        <v>3.5</v>
      </c>
      <c r="D1287">
        <v>1</v>
      </c>
      <c r="Q1287">
        <v>1.125</v>
      </c>
    </row>
    <row r="1288" spans="1:17" x14ac:dyDescent="0.25">
      <c r="A1288">
        <v>5</v>
      </c>
      <c r="D1288">
        <v>6</v>
      </c>
      <c r="Q1288">
        <v>4.75</v>
      </c>
    </row>
    <row r="1289" spans="1:17" x14ac:dyDescent="0.25">
      <c r="A1289">
        <v>2.5</v>
      </c>
      <c r="D1289">
        <v>5</v>
      </c>
      <c r="Q1289">
        <v>1.5</v>
      </c>
    </row>
    <row r="1290" spans="1:17" x14ac:dyDescent="0.25">
      <c r="A1290">
        <v>5</v>
      </c>
      <c r="D1290">
        <v>5.25</v>
      </c>
      <c r="Q1290">
        <v>5</v>
      </c>
    </row>
    <row r="1291" spans="1:17" x14ac:dyDescent="0.25">
      <c r="A1291">
        <v>3</v>
      </c>
      <c r="D1291">
        <v>1.5</v>
      </c>
      <c r="Q1291">
        <v>4.75</v>
      </c>
    </row>
    <row r="1292" spans="1:17" x14ac:dyDescent="0.25">
      <c r="A1292">
        <v>5</v>
      </c>
      <c r="D1292">
        <v>7</v>
      </c>
      <c r="Q1292">
        <v>1.5</v>
      </c>
    </row>
    <row r="1293" spans="1:17" x14ac:dyDescent="0.25">
      <c r="A1293">
        <v>5</v>
      </c>
      <c r="D1293">
        <v>3.5</v>
      </c>
      <c r="Q1293">
        <v>5</v>
      </c>
    </row>
    <row r="1294" spans="1:17" x14ac:dyDescent="0.25">
      <c r="A1294">
        <v>10</v>
      </c>
      <c r="D1294">
        <v>2.25</v>
      </c>
      <c r="Q1294">
        <v>3</v>
      </c>
    </row>
    <row r="1295" spans="1:17" x14ac:dyDescent="0.25">
      <c r="A1295">
        <v>6.5</v>
      </c>
      <c r="D1295">
        <v>5</v>
      </c>
      <c r="Q1295">
        <v>5</v>
      </c>
    </row>
    <row r="1296" spans="1:17" x14ac:dyDescent="0.25">
      <c r="A1296">
        <v>5.25</v>
      </c>
      <c r="D1296">
        <v>5</v>
      </c>
      <c r="Q1296">
        <v>5.25</v>
      </c>
    </row>
    <row r="1297" spans="1:17" x14ac:dyDescent="0.25">
      <c r="A1297">
        <v>5</v>
      </c>
      <c r="D1297">
        <v>5</v>
      </c>
      <c r="Q1297">
        <v>1.25</v>
      </c>
    </row>
    <row r="1298" spans="1:17" x14ac:dyDescent="0.25">
      <c r="A1298">
        <v>5</v>
      </c>
      <c r="D1298">
        <v>5</v>
      </c>
      <c r="Q1298">
        <v>1.5</v>
      </c>
    </row>
    <row r="1299" spans="1:17" x14ac:dyDescent="0.25">
      <c r="A1299">
        <v>5</v>
      </c>
      <c r="D1299">
        <v>5</v>
      </c>
      <c r="Q1299">
        <v>1.875</v>
      </c>
    </row>
    <row r="1300" spans="1:17" x14ac:dyDescent="0.25">
      <c r="A1300">
        <v>6</v>
      </c>
      <c r="D1300">
        <v>5</v>
      </c>
      <c r="Q1300">
        <v>4.5</v>
      </c>
    </row>
    <row r="1301" spans="1:17" x14ac:dyDescent="0.25">
      <c r="A1301">
        <v>2.5</v>
      </c>
      <c r="D1301">
        <v>4</v>
      </c>
      <c r="Q1301">
        <v>5</v>
      </c>
    </row>
    <row r="1302" spans="1:17" x14ac:dyDescent="0.25">
      <c r="A1302">
        <v>5</v>
      </c>
      <c r="D1302">
        <v>5</v>
      </c>
      <c r="Q1302">
        <v>5</v>
      </c>
    </row>
    <row r="1303" spans="1:17" x14ac:dyDescent="0.25">
      <c r="A1303">
        <v>5</v>
      </c>
      <c r="D1303">
        <v>5</v>
      </c>
      <c r="Q1303">
        <v>5</v>
      </c>
    </row>
    <row r="1304" spans="1:17" x14ac:dyDescent="0.25">
      <c r="A1304">
        <v>5.25</v>
      </c>
      <c r="D1304">
        <v>5</v>
      </c>
      <c r="Q1304">
        <v>3</v>
      </c>
    </row>
    <row r="1305" spans="1:17" x14ac:dyDescent="0.25">
      <c r="A1305">
        <v>3.5</v>
      </c>
      <c r="D1305">
        <v>5</v>
      </c>
      <c r="Q1305">
        <v>5</v>
      </c>
    </row>
    <row r="1306" spans="1:17" x14ac:dyDescent="0.25">
      <c r="A1306">
        <v>2.5</v>
      </c>
      <c r="D1306">
        <v>7.25</v>
      </c>
      <c r="Q1306">
        <v>5</v>
      </c>
    </row>
    <row r="1307" spans="1:17" x14ac:dyDescent="0.25">
      <c r="A1307">
        <v>2</v>
      </c>
      <c r="D1307">
        <v>9</v>
      </c>
      <c r="Q1307">
        <v>0.375</v>
      </c>
    </row>
    <row r="1308" spans="1:17" x14ac:dyDescent="0.25">
      <c r="A1308">
        <v>2</v>
      </c>
      <c r="D1308">
        <v>5</v>
      </c>
      <c r="Q1308">
        <v>5</v>
      </c>
    </row>
    <row r="1309" spans="1:17" x14ac:dyDescent="0.25">
      <c r="A1309">
        <v>5</v>
      </c>
      <c r="D1309">
        <v>7</v>
      </c>
      <c r="Q1309">
        <v>5</v>
      </c>
    </row>
    <row r="1310" spans="1:17" x14ac:dyDescent="0.25">
      <c r="A1310">
        <v>5</v>
      </c>
      <c r="D1310">
        <v>5</v>
      </c>
      <c r="Q1310">
        <v>5</v>
      </c>
    </row>
    <row r="1311" spans="1:17" x14ac:dyDescent="0.25">
      <c r="A1311">
        <v>4</v>
      </c>
      <c r="D1311">
        <v>3</v>
      </c>
      <c r="Q1311">
        <v>5</v>
      </c>
    </row>
    <row r="1312" spans="1:17" x14ac:dyDescent="0.25">
      <c r="A1312">
        <v>5</v>
      </c>
      <c r="D1312">
        <v>5.25</v>
      </c>
      <c r="Q1312">
        <v>5</v>
      </c>
    </row>
    <row r="1313" spans="1:17" x14ac:dyDescent="0.25">
      <c r="A1313">
        <v>5</v>
      </c>
      <c r="D1313">
        <v>5</v>
      </c>
      <c r="Q1313">
        <v>5</v>
      </c>
    </row>
    <row r="1314" spans="1:17" x14ac:dyDescent="0.25">
      <c r="A1314">
        <v>6.5</v>
      </c>
      <c r="D1314">
        <v>3.5</v>
      </c>
      <c r="Q1314">
        <v>5</v>
      </c>
    </row>
    <row r="1315" spans="1:17" x14ac:dyDescent="0.25">
      <c r="A1315">
        <v>3</v>
      </c>
      <c r="D1315">
        <v>3.75</v>
      </c>
      <c r="Q1315">
        <v>3.5</v>
      </c>
    </row>
    <row r="1316" spans="1:17" x14ac:dyDescent="0.25">
      <c r="A1316">
        <v>3.5</v>
      </c>
      <c r="D1316">
        <v>2.25</v>
      </c>
      <c r="Q1316">
        <v>5</v>
      </c>
    </row>
    <row r="1317" spans="1:17" x14ac:dyDescent="0.25">
      <c r="A1317">
        <v>2.5</v>
      </c>
      <c r="D1317">
        <v>5</v>
      </c>
      <c r="Q1317">
        <v>5</v>
      </c>
    </row>
    <row r="1318" spans="1:17" x14ac:dyDescent="0.25">
      <c r="A1318">
        <v>3</v>
      </c>
      <c r="D1318">
        <v>2.25</v>
      </c>
      <c r="Q1318">
        <v>4.5</v>
      </c>
    </row>
    <row r="1319" spans="1:17" x14ac:dyDescent="0.25">
      <c r="A1319">
        <v>4</v>
      </c>
      <c r="D1319">
        <v>8.25</v>
      </c>
      <c r="Q1319">
        <v>5</v>
      </c>
    </row>
    <row r="1320" spans="1:17" x14ac:dyDescent="0.25">
      <c r="A1320">
        <v>5</v>
      </c>
      <c r="D1320">
        <v>5</v>
      </c>
      <c r="Q1320">
        <v>5</v>
      </c>
    </row>
    <row r="1321" spans="1:17" x14ac:dyDescent="0.25">
      <c r="A1321">
        <v>5</v>
      </c>
      <c r="D1321">
        <v>10</v>
      </c>
      <c r="Q1321">
        <v>5</v>
      </c>
    </row>
    <row r="1322" spans="1:17" x14ac:dyDescent="0.25">
      <c r="A1322">
        <v>8</v>
      </c>
      <c r="D1322">
        <v>1</v>
      </c>
      <c r="Q1322">
        <v>9.375</v>
      </c>
    </row>
    <row r="1323" spans="1:17" x14ac:dyDescent="0.25">
      <c r="A1323">
        <v>5.5</v>
      </c>
      <c r="D1323">
        <v>1.25</v>
      </c>
      <c r="Q1323">
        <v>5</v>
      </c>
    </row>
    <row r="1324" spans="1:17" x14ac:dyDescent="0.25">
      <c r="A1324">
        <v>5</v>
      </c>
      <c r="D1324">
        <v>5</v>
      </c>
      <c r="Q1324">
        <v>3.5</v>
      </c>
    </row>
    <row r="1325" spans="1:17" x14ac:dyDescent="0.25">
      <c r="A1325">
        <v>4.25</v>
      </c>
      <c r="D1325">
        <v>5</v>
      </c>
      <c r="Q1325">
        <v>3</v>
      </c>
    </row>
    <row r="1326" spans="1:17" x14ac:dyDescent="0.25">
      <c r="A1326">
        <v>5</v>
      </c>
      <c r="D1326">
        <v>5</v>
      </c>
      <c r="Q1326">
        <v>4.75</v>
      </c>
    </row>
    <row r="1327" spans="1:17" x14ac:dyDescent="0.25">
      <c r="A1327">
        <v>5</v>
      </c>
      <c r="D1327">
        <v>5</v>
      </c>
      <c r="Q1327">
        <v>5</v>
      </c>
    </row>
    <row r="1328" spans="1:17" x14ac:dyDescent="0.25">
      <c r="A1328">
        <v>5</v>
      </c>
      <c r="D1328">
        <v>5</v>
      </c>
      <c r="Q1328">
        <v>5</v>
      </c>
    </row>
    <row r="1329" spans="1:17" x14ac:dyDescent="0.25">
      <c r="A1329">
        <v>3</v>
      </c>
      <c r="D1329">
        <v>5</v>
      </c>
      <c r="Q1329">
        <v>5</v>
      </c>
    </row>
    <row r="1330" spans="1:17" x14ac:dyDescent="0.25">
      <c r="A1330">
        <v>3.25</v>
      </c>
      <c r="D1330">
        <v>5</v>
      </c>
      <c r="Q1330">
        <v>5</v>
      </c>
    </row>
    <row r="1331" spans="1:17" x14ac:dyDescent="0.25">
      <c r="A1331">
        <v>3</v>
      </c>
      <c r="D1331">
        <v>5.25</v>
      </c>
      <c r="Q1331">
        <v>5</v>
      </c>
    </row>
    <row r="1332" spans="1:17" x14ac:dyDescent="0.25">
      <c r="A1332">
        <v>5</v>
      </c>
      <c r="D1332">
        <v>5</v>
      </c>
      <c r="Q1332">
        <v>3.5</v>
      </c>
    </row>
    <row r="1333" spans="1:17" x14ac:dyDescent="0.25">
      <c r="A1333">
        <v>5</v>
      </c>
      <c r="D1333">
        <v>5</v>
      </c>
      <c r="Q1333">
        <v>5</v>
      </c>
    </row>
    <row r="1334" spans="1:17" x14ac:dyDescent="0.25">
      <c r="A1334">
        <v>5</v>
      </c>
      <c r="D1334">
        <v>5</v>
      </c>
      <c r="Q1334">
        <v>4.5</v>
      </c>
    </row>
    <row r="1335" spans="1:17" x14ac:dyDescent="0.25">
      <c r="A1335">
        <v>10</v>
      </c>
      <c r="D1335">
        <v>5</v>
      </c>
      <c r="Q1335">
        <v>6</v>
      </c>
    </row>
    <row r="1336" spans="1:17" x14ac:dyDescent="0.25">
      <c r="A1336">
        <v>5</v>
      </c>
      <c r="D1336">
        <v>10</v>
      </c>
      <c r="Q1336">
        <v>5</v>
      </c>
    </row>
    <row r="1337" spans="1:17" x14ac:dyDescent="0.25">
      <c r="A1337">
        <v>2.25</v>
      </c>
      <c r="D1337">
        <v>5</v>
      </c>
      <c r="Q1337">
        <v>4.25</v>
      </c>
    </row>
    <row r="1338" spans="1:17" x14ac:dyDescent="0.25">
      <c r="A1338">
        <v>5</v>
      </c>
      <c r="D1338">
        <v>5.25</v>
      </c>
      <c r="Q1338">
        <v>3.375</v>
      </c>
    </row>
    <row r="1339" spans="1:17" x14ac:dyDescent="0.25">
      <c r="A1339">
        <v>5</v>
      </c>
      <c r="D1339">
        <v>7</v>
      </c>
      <c r="Q1339">
        <v>1.75</v>
      </c>
    </row>
    <row r="1340" spans="1:17" x14ac:dyDescent="0.25">
      <c r="A1340">
        <v>5</v>
      </c>
      <c r="D1340">
        <v>3.25</v>
      </c>
      <c r="Q1340">
        <v>5</v>
      </c>
    </row>
    <row r="1341" spans="1:17" x14ac:dyDescent="0.25">
      <c r="A1341">
        <v>6</v>
      </c>
      <c r="D1341">
        <v>4.25</v>
      </c>
      <c r="Q1341">
        <v>4.5</v>
      </c>
    </row>
    <row r="1342" spans="1:17" x14ac:dyDescent="0.25">
      <c r="A1342">
        <v>5</v>
      </c>
      <c r="D1342">
        <v>5</v>
      </c>
      <c r="Q1342">
        <v>5</v>
      </c>
    </row>
    <row r="1343" spans="1:17" x14ac:dyDescent="0.25">
      <c r="A1343">
        <v>5</v>
      </c>
      <c r="D1343">
        <v>5</v>
      </c>
      <c r="Q1343">
        <v>1.125</v>
      </c>
    </row>
    <row r="1344" spans="1:17" x14ac:dyDescent="0.25">
      <c r="A1344">
        <v>6.25</v>
      </c>
      <c r="D1344">
        <v>10</v>
      </c>
      <c r="Q1344">
        <v>5</v>
      </c>
    </row>
    <row r="1345" spans="1:17" x14ac:dyDescent="0.25">
      <c r="A1345">
        <v>7</v>
      </c>
      <c r="D1345">
        <v>5</v>
      </c>
      <c r="Q1345">
        <v>4</v>
      </c>
    </row>
    <row r="1346" spans="1:17" x14ac:dyDescent="0.25">
      <c r="A1346">
        <v>5</v>
      </c>
      <c r="D1346">
        <v>5</v>
      </c>
      <c r="Q1346">
        <v>1.125</v>
      </c>
    </row>
    <row r="1347" spans="1:17" x14ac:dyDescent="0.25">
      <c r="A1347">
        <v>5</v>
      </c>
      <c r="D1347">
        <v>5</v>
      </c>
      <c r="Q1347">
        <v>1.25</v>
      </c>
    </row>
    <row r="1348" spans="1:17" x14ac:dyDescent="0.25">
      <c r="A1348">
        <v>5.25</v>
      </c>
      <c r="D1348">
        <v>1</v>
      </c>
      <c r="Q1348">
        <v>5</v>
      </c>
    </row>
    <row r="1349" spans="1:17" x14ac:dyDescent="0.25">
      <c r="A1349">
        <v>5</v>
      </c>
      <c r="D1349">
        <v>2</v>
      </c>
      <c r="Q1349">
        <v>5.25</v>
      </c>
    </row>
    <row r="1350" spans="1:17" x14ac:dyDescent="0.25">
      <c r="A1350">
        <v>5</v>
      </c>
      <c r="D1350">
        <v>2</v>
      </c>
      <c r="Q1350">
        <v>1.5</v>
      </c>
    </row>
    <row r="1351" spans="1:17" x14ac:dyDescent="0.25">
      <c r="A1351">
        <v>5</v>
      </c>
      <c r="D1351">
        <v>5</v>
      </c>
      <c r="Q1351">
        <v>1.125</v>
      </c>
    </row>
    <row r="1352" spans="1:17" x14ac:dyDescent="0.25">
      <c r="A1352">
        <v>5</v>
      </c>
      <c r="D1352">
        <v>5</v>
      </c>
      <c r="Q1352">
        <v>1.125</v>
      </c>
    </row>
    <row r="1353" spans="1:17" x14ac:dyDescent="0.25">
      <c r="A1353">
        <v>5</v>
      </c>
      <c r="D1353">
        <v>5</v>
      </c>
      <c r="Q1353">
        <v>7.125</v>
      </c>
    </row>
    <row r="1354" spans="1:17" x14ac:dyDescent="0.25">
      <c r="A1354">
        <v>1</v>
      </c>
      <c r="D1354">
        <v>5.75</v>
      </c>
      <c r="Q1354">
        <v>4.25</v>
      </c>
    </row>
    <row r="1355" spans="1:17" x14ac:dyDescent="0.25">
      <c r="A1355">
        <v>3</v>
      </c>
      <c r="D1355">
        <v>2.5</v>
      </c>
      <c r="Q1355">
        <v>5</v>
      </c>
    </row>
    <row r="1356" spans="1:17" x14ac:dyDescent="0.25">
      <c r="A1356">
        <v>5</v>
      </c>
      <c r="D1356">
        <v>7.25</v>
      </c>
      <c r="Q1356">
        <v>5</v>
      </c>
    </row>
    <row r="1357" spans="1:17" x14ac:dyDescent="0.25">
      <c r="A1357">
        <v>4</v>
      </c>
      <c r="D1357">
        <v>5</v>
      </c>
      <c r="Q1357">
        <v>5</v>
      </c>
    </row>
    <row r="1358" spans="1:17" x14ac:dyDescent="0.25">
      <c r="A1358">
        <v>5</v>
      </c>
      <c r="D1358">
        <v>5</v>
      </c>
      <c r="Q1358">
        <v>5</v>
      </c>
    </row>
    <row r="1359" spans="1:17" x14ac:dyDescent="0.25">
      <c r="A1359">
        <v>4</v>
      </c>
      <c r="D1359">
        <v>4</v>
      </c>
      <c r="Q1359">
        <v>5</v>
      </c>
    </row>
    <row r="1360" spans="1:17" x14ac:dyDescent="0.25">
      <c r="A1360">
        <v>5</v>
      </c>
      <c r="D1360">
        <v>5</v>
      </c>
      <c r="Q1360">
        <v>5</v>
      </c>
    </row>
    <row r="1361" spans="1:17" x14ac:dyDescent="0.25">
      <c r="A1361">
        <v>5</v>
      </c>
      <c r="D1361">
        <v>5.5</v>
      </c>
      <c r="Q1361">
        <v>5</v>
      </c>
    </row>
    <row r="1362" spans="1:17" x14ac:dyDescent="0.25">
      <c r="A1362">
        <v>5</v>
      </c>
      <c r="D1362">
        <v>5</v>
      </c>
      <c r="Q1362">
        <v>5</v>
      </c>
    </row>
    <row r="1363" spans="1:17" x14ac:dyDescent="0.25">
      <c r="A1363">
        <v>5</v>
      </c>
      <c r="D1363">
        <v>5</v>
      </c>
      <c r="Q1363">
        <v>7.5</v>
      </c>
    </row>
    <row r="1364" spans="1:17" x14ac:dyDescent="0.25">
      <c r="A1364">
        <v>5</v>
      </c>
      <c r="D1364">
        <v>5</v>
      </c>
      <c r="Q1364">
        <v>3</v>
      </c>
    </row>
    <row r="1365" spans="1:17" x14ac:dyDescent="0.25">
      <c r="A1365">
        <v>6.25</v>
      </c>
      <c r="D1365">
        <v>5</v>
      </c>
      <c r="Q1365">
        <v>3.375</v>
      </c>
    </row>
    <row r="1366" spans="1:17" x14ac:dyDescent="0.25">
      <c r="A1366">
        <v>1</v>
      </c>
      <c r="D1366">
        <v>5</v>
      </c>
      <c r="Q1366">
        <v>1.75</v>
      </c>
    </row>
    <row r="1367" spans="1:17" x14ac:dyDescent="0.25">
      <c r="A1367">
        <v>1</v>
      </c>
      <c r="D1367">
        <v>5</v>
      </c>
      <c r="Q1367">
        <v>5</v>
      </c>
    </row>
    <row r="1368" spans="1:17" x14ac:dyDescent="0.25">
      <c r="A1368">
        <v>3</v>
      </c>
      <c r="D1368">
        <v>5</v>
      </c>
      <c r="Q1368">
        <v>4.875</v>
      </c>
    </row>
    <row r="1369" spans="1:17" x14ac:dyDescent="0.25">
      <c r="A1369">
        <v>4</v>
      </c>
      <c r="D1369">
        <v>5</v>
      </c>
      <c r="Q1369">
        <v>7.5</v>
      </c>
    </row>
    <row r="1370" spans="1:17" x14ac:dyDescent="0.25">
      <c r="A1370">
        <v>5</v>
      </c>
      <c r="D1370">
        <v>6.5</v>
      </c>
      <c r="Q1370">
        <v>15.375</v>
      </c>
    </row>
    <row r="1371" spans="1:17" x14ac:dyDescent="0.25">
      <c r="A1371">
        <v>8</v>
      </c>
      <c r="D1371">
        <v>5</v>
      </c>
      <c r="Q1371">
        <v>7.5</v>
      </c>
    </row>
    <row r="1372" spans="1:17" x14ac:dyDescent="0.25">
      <c r="A1372">
        <v>5</v>
      </c>
      <c r="D1372">
        <v>5</v>
      </c>
      <c r="Q1372">
        <v>2.625</v>
      </c>
    </row>
    <row r="1373" spans="1:17" x14ac:dyDescent="0.25">
      <c r="A1373">
        <v>5.25</v>
      </c>
      <c r="D1373">
        <v>10</v>
      </c>
      <c r="Q1373">
        <v>12.375</v>
      </c>
    </row>
    <row r="1374" spans="1:17" x14ac:dyDescent="0.25">
      <c r="A1374">
        <v>5</v>
      </c>
      <c r="D1374">
        <v>3.75</v>
      </c>
      <c r="Q1374">
        <v>7.5</v>
      </c>
    </row>
    <row r="1375" spans="1:17" x14ac:dyDescent="0.25">
      <c r="A1375">
        <v>5</v>
      </c>
      <c r="D1375">
        <v>10</v>
      </c>
      <c r="Q1375">
        <v>7.125</v>
      </c>
    </row>
    <row r="1376" spans="1:17" x14ac:dyDescent="0.25">
      <c r="A1376">
        <v>5</v>
      </c>
      <c r="D1376">
        <v>5</v>
      </c>
      <c r="Q1376">
        <v>6.75</v>
      </c>
    </row>
    <row r="1377" spans="1:17" x14ac:dyDescent="0.25">
      <c r="A1377">
        <v>3.25</v>
      </c>
      <c r="D1377">
        <v>5</v>
      </c>
      <c r="Q1377">
        <v>7.5</v>
      </c>
    </row>
    <row r="1378" spans="1:17" x14ac:dyDescent="0.25">
      <c r="A1378">
        <v>5</v>
      </c>
      <c r="D1378">
        <v>5</v>
      </c>
      <c r="Q1378">
        <v>4</v>
      </c>
    </row>
    <row r="1379" spans="1:17" x14ac:dyDescent="0.25">
      <c r="A1379">
        <v>5</v>
      </c>
      <c r="D1379">
        <v>5.25</v>
      </c>
      <c r="Q1379">
        <v>3</v>
      </c>
    </row>
    <row r="1380" spans="1:17" x14ac:dyDescent="0.25">
      <c r="A1380">
        <v>5</v>
      </c>
      <c r="D1380">
        <v>5</v>
      </c>
      <c r="Q1380">
        <v>1.5</v>
      </c>
    </row>
    <row r="1381" spans="1:17" x14ac:dyDescent="0.25">
      <c r="A1381">
        <v>5</v>
      </c>
      <c r="D1381">
        <v>5.75</v>
      </c>
      <c r="Q1381">
        <v>6</v>
      </c>
    </row>
    <row r="1382" spans="1:17" x14ac:dyDescent="0.25">
      <c r="A1382">
        <v>1.75</v>
      </c>
      <c r="D1382">
        <v>5</v>
      </c>
      <c r="Q1382">
        <v>6.375</v>
      </c>
    </row>
    <row r="1383" spans="1:17" x14ac:dyDescent="0.25">
      <c r="A1383">
        <v>5</v>
      </c>
      <c r="D1383">
        <v>7.25</v>
      </c>
      <c r="Q1383">
        <v>5</v>
      </c>
    </row>
    <row r="1384" spans="1:17" x14ac:dyDescent="0.25">
      <c r="A1384">
        <v>7</v>
      </c>
      <c r="D1384">
        <v>5</v>
      </c>
      <c r="Q1384">
        <v>3</v>
      </c>
    </row>
    <row r="1385" spans="1:17" x14ac:dyDescent="0.25">
      <c r="A1385">
        <v>10.5</v>
      </c>
      <c r="D1385">
        <v>5</v>
      </c>
      <c r="Q1385">
        <v>5</v>
      </c>
    </row>
    <row r="1386" spans="1:17" x14ac:dyDescent="0.25">
      <c r="A1386">
        <v>3.25</v>
      </c>
      <c r="D1386">
        <v>5</v>
      </c>
      <c r="Q1386">
        <v>7.875</v>
      </c>
    </row>
    <row r="1387" spans="1:17" x14ac:dyDescent="0.25">
      <c r="A1387">
        <v>5</v>
      </c>
      <c r="D1387">
        <v>5</v>
      </c>
      <c r="Q1387">
        <v>3.75</v>
      </c>
    </row>
    <row r="1388" spans="1:17" x14ac:dyDescent="0.25">
      <c r="A1388">
        <v>7.25</v>
      </c>
      <c r="D1388">
        <v>5</v>
      </c>
      <c r="Q1388">
        <v>7.5</v>
      </c>
    </row>
    <row r="1389" spans="1:17" x14ac:dyDescent="0.25">
      <c r="A1389">
        <v>5</v>
      </c>
      <c r="D1389">
        <v>6</v>
      </c>
      <c r="Q1389">
        <v>7.5</v>
      </c>
    </row>
    <row r="1390" spans="1:17" x14ac:dyDescent="0.25">
      <c r="A1390">
        <v>5</v>
      </c>
      <c r="D1390">
        <v>5</v>
      </c>
      <c r="Q1390">
        <v>7.125</v>
      </c>
    </row>
    <row r="1391" spans="1:17" x14ac:dyDescent="0.25">
      <c r="A1391">
        <v>5</v>
      </c>
      <c r="D1391">
        <v>5</v>
      </c>
      <c r="Q1391">
        <v>6.75</v>
      </c>
    </row>
    <row r="1392" spans="1:17" x14ac:dyDescent="0.25">
      <c r="A1392">
        <v>8</v>
      </c>
      <c r="D1392">
        <v>10</v>
      </c>
      <c r="Q1392">
        <v>3.25</v>
      </c>
    </row>
    <row r="1393" spans="1:17" x14ac:dyDescent="0.25">
      <c r="A1393">
        <v>5.5</v>
      </c>
      <c r="D1393">
        <v>5</v>
      </c>
      <c r="Q1393">
        <v>5</v>
      </c>
    </row>
    <row r="1394" spans="1:17" x14ac:dyDescent="0.25">
      <c r="A1394">
        <v>5</v>
      </c>
      <c r="D1394">
        <v>5.25</v>
      </c>
      <c r="Q1394">
        <v>1.5</v>
      </c>
    </row>
    <row r="1395" spans="1:17" x14ac:dyDescent="0.25">
      <c r="A1395">
        <v>7</v>
      </c>
      <c r="D1395">
        <v>5</v>
      </c>
      <c r="Q1395">
        <v>7.5</v>
      </c>
    </row>
    <row r="1396" spans="1:17" x14ac:dyDescent="0.25">
      <c r="A1396">
        <v>5</v>
      </c>
      <c r="D1396">
        <v>3</v>
      </c>
      <c r="Q1396">
        <v>5</v>
      </c>
    </row>
    <row r="1397" spans="1:17" x14ac:dyDescent="0.25">
      <c r="A1397">
        <v>2.25</v>
      </c>
      <c r="D1397">
        <v>5</v>
      </c>
      <c r="Q1397">
        <v>2.5</v>
      </c>
    </row>
    <row r="1398" spans="1:17" x14ac:dyDescent="0.25">
      <c r="A1398">
        <v>5</v>
      </c>
      <c r="D1398">
        <v>3.75</v>
      </c>
      <c r="Q1398">
        <v>7.5</v>
      </c>
    </row>
    <row r="1399" spans="1:17" x14ac:dyDescent="0.25">
      <c r="A1399">
        <v>2.5</v>
      </c>
      <c r="D1399">
        <v>2.25</v>
      </c>
      <c r="Q1399">
        <v>7.5</v>
      </c>
    </row>
    <row r="1400" spans="1:17" x14ac:dyDescent="0.25">
      <c r="A1400">
        <v>4</v>
      </c>
      <c r="D1400">
        <v>5</v>
      </c>
      <c r="Q1400">
        <v>7.5</v>
      </c>
    </row>
    <row r="1401" spans="1:17" x14ac:dyDescent="0.25">
      <c r="A1401">
        <v>9</v>
      </c>
      <c r="D1401">
        <v>5</v>
      </c>
      <c r="Q1401">
        <v>7.5</v>
      </c>
    </row>
    <row r="1402" spans="1:17" x14ac:dyDescent="0.25">
      <c r="A1402">
        <v>1</v>
      </c>
      <c r="D1402">
        <v>3.75</v>
      </c>
      <c r="Q1402">
        <v>7.5</v>
      </c>
    </row>
    <row r="1403" spans="1:17" x14ac:dyDescent="0.25">
      <c r="A1403">
        <v>6</v>
      </c>
      <c r="D1403">
        <v>7.25</v>
      </c>
      <c r="Q1403">
        <v>7.875</v>
      </c>
    </row>
    <row r="1404" spans="1:17" x14ac:dyDescent="0.25">
      <c r="A1404">
        <v>5</v>
      </c>
      <c r="D1404">
        <v>5</v>
      </c>
      <c r="Q1404">
        <v>3.375</v>
      </c>
    </row>
    <row r="1405" spans="1:17" x14ac:dyDescent="0.25">
      <c r="A1405">
        <v>5</v>
      </c>
      <c r="D1405">
        <v>2.25</v>
      </c>
      <c r="Q1405">
        <v>1.125</v>
      </c>
    </row>
    <row r="1406" spans="1:17" x14ac:dyDescent="0.25">
      <c r="A1406">
        <v>0.5</v>
      </c>
      <c r="D1406">
        <v>5</v>
      </c>
      <c r="Q1406">
        <v>2.75</v>
      </c>
    </row>
    <row r="1407" spans="1:17" x14ac:dyDescent="0.25">
      <c r="A1407">
        <v>1</v>
      </c>
      <c r="D1407">
        <v>7.25</v>
      </c>
      <c r="Q1407">
        <v>6</v>
      </c>
    </row>
    <row r="1408" spans="1:17" x14ac:dyDescent="0.25">
      <c r="A1408">
        <v>3</v>
      </c>
      <c r="D1408">
        <v>5.5</v>
      </c>
      <c r="Q1408">
        <v>6.75</v>
      </c>
    </row>
    <row r="1409" spans="1:17" x14ac:dyDescent="0.25">
      <c r="A1409">
        <v>5</v>
      </c>
      <c r="D1409">
        <v>5</v>
      </c>
      <c r="Q1409">
        <v>6.375</v>
      </c>
    </row>
    <row r="1410" spans="1:17" x14ac:dyDescent="0.25">
      <c r="A1410">
        <v>6</v>
      </c>
      <c r="D1410">
        <v>4</v>
      </c>
      <c r="Q1410">
        <v>7.5</v>
      </c>
    </row>
    <row r="1411" spans="1:17" x14ac:dyDescent="0.25">
      <c r="A1411">
        <v>5</v>
      </c>
      <c r="D1411">
        <v>7.25</v>
      </c>
      <c r="Q1411">
        <v>7.5</v>
      </c>
    </row>
    <row r="1412" spans="1:17" x14ac:dyDescent="0.25">
      <c r="A1412">
        <v>3.25</v>
      </c>
      <c r="D1412">
        <v>4.5</v>
      </c>
      <c r="Q1412">
        <v>6.375</v>
      </c>
    </row>
    <row r="1413" spans="1:17" x14ac:dyDescent="0.25">
      <c r="A1413">
        <v>5</v>
      </c>
      <c r="D1413">
        <v>5</v>
      </c>
      <c r="Q1413">
        <v>3.75</v>
      </c>
    </row>
    <row r="1414" spans="1:17" x14ac:dyDescent="0.25">
      <c r="A1414">
        <v>5</v>
      </c>
      <c r="D1414">
        <v>4.5</v>
      </c>
      <c r="Q1414">
        <v>7.5</v>
      </c>
    </row>
    <row r="1415" spans="1:17" x14ac:dyDescent="0.25">
      <c r="A1415">
        <v>5</v>
      </c>
      <c r="D1415">
        <v>6.75</v>
      </c>
      <c r="Q1415">
        <v>1.5</v>
      </c>
    </row>
    <row r="1416" spans="1:17" x14ac:dyDescent="0.25">
      <c r="A1416">
        <v>5</v>
      </c>
      <c r="D1416">
        <v>5</v>
      </c>
      <c r="Q1416">
        <v>7.5</v>
      </c>
    </row>
    <row r="1417" spans="1:17" x14ac:dyDescent="0.25">
      <c r="A1417">
        <v>5</v>
      </c>
      <c r="D1417">
        <v>5.5</v>
      </c>
      <c r="Q1417">
        <v>7.5</v>
      </c>
    </row>
    <row r="1418" spans="1:17" x14ac:dyDescent="0.25">
      <c r="A1418">
        <v>2</v>
      </c>
      <c r="D1418">
        <v>13</v>
      </c>
      <c r="Q1418">
        <v>7.5</v>
      </c>
    </row>
    <row r="1419" spans="1:17" x14ac:dyDescent="0.25">
      <c r="A1419">
        <v>4.5</v>
      </c>
      <c r="D1419">
        <v>5</v>
      </c>
      <c r="Q1419">
        <v>5.625</v>
      </c>
    </row>
    <row r="1420" spans="1:17" x14ac:dyDescent="0.25">
      <c r="A1420">
        <v>2</v>
      </c>
      <c r="D1420">
        <v>5</v>
      </c>
      <c r="Q1420">
        <v>7.5</v>
      </c>
    </row>
    <row r="1421" spans="1:17" x14ac:dyDescent="0.25">
      <c r="A1421">
        <v>1</v>
      </c>
      <c r="D1421">
        <v>7.25</v>
      </c>
      <c r="Q1421">
        <v>5</v>
      </c>
    </row>
    <row r="1422" spans="1:17" x14ac:dyDescent="0.25">
      <c r="A1422">
        <v>4</v>
      </c>
      <c r="D1422">
        <v>5</v>
      </c>
      <c r="Q1422">
        <v>8.625</v>
      </c>
    </row>
    <row r="1423" spans="1:17" x14ac:dyDescent="0.25">
      <c r="A1423">
        <v>5</v>
      </c>
      <c r="D1423">
        <v>7</v>
      </c>
      <c r="Q1423">
        <v>12</v>
      </c>
    </row>
    <row r="1424" spans="1:17" x14ac:dyDescent="0.25">
      <c r="A1424">
        <v>5</v>
      </c>
      <c r="D1424">
        <v>9.5</v>
      </c>
      <c r="Q1424">
        <v>5</v>
      </c>
    </row>
    <row r="1425" spans="1:17" x14ac:dyDescent="0.25">
      <c r="A1425">
        <v>4.5</v>
      </c>
      <c r="D1425">
        <v>6.5</v>
      </c>
      <c r="Q1425">
        <v>7.5</v>
      </c>
    </row>
    <row r="1426" spans="1:17" x14ac:dyDescent="0.25">
      <c r="A1426">
        <v>3.5</v>
      </c>
      <c r="D1426">
        <v>1.25</v>
      </c>
      <c r="Q1426">
        <v>7.5</v>
      </c>
    </row>
    <row r="1427" spans="1:17" x14ac:dyDescent="0.25">
      <c r="A1427">
        <v>10</v>
      </c>
      <c r="D1427">
        <v>7</v>
      </c>
      <c r="Q1427">
        <v>5.25</v>
      </c>
    </row>
    <row r="1428" spans="1:17" x14ac:dyDescent="0.25">
      <c r="A1428">
        <v>9</v>
      </c>
      <c r="D1428">
        <v>5</v>
      </c>
      <c r="Q1428">
        <v>6</v>
      </c>
    </row>
    <row r="1429" spans="1:17" x14ac:dyDescent="0.25">
      <c r="A1429">
        <v>1.25</v>
      </c>
      <c r="D1429">
        <v>5</v>
      </c>
      <c r="Q1429">
        <v>10.875</v>
      </c>
    </row>
    <row r="1430" spans="1:17" x14ac:dyDescent="0.25">
      <c r="A1430">
        <v>3.5</v>
      </c>
      <c r="D1430">
        <v>2.5</v>
      </c>
      <c r="Q1430">
        <v>7.5</v>
      </c>
    </row>
    <row r="1431" spans="1:17" x14ac:dyDescent="0.25">
      <c r="A1431">
        <v>5</v>
      </c>
      <c r="D1431">
        <v>5</v>
      </c>
      <c r="Q1431">
        <v>1.5</v>
      </c>
    </row>
    <row r="1432" spans="1:17" x14ac:dyDescent="0.25">
      <c r="A1432">
        <v>5</v>
      </c>
      <c r="D1432">
        <v>5</v>
      </c>
      <c r="Q1432">
        <v>7.875</v>
      </c>
    </row>
    <row r="1433" spans="1:17" x14ac:dyDescent="0.25">
      <c r="A1433">
        <v>0.5</v>
      </c>
      <c r="D1433">
        <v>1.25</v>
      </c>
      <c r="Q1433">
        <v>0.75</v>
      </c>
    </row>
    <row r="1434" spans="1:17" x14ac:dyDescent="0.25">
      <c r="A1434">
        <v>6.375</v>
      </c>
      <c r="D1434">
        <v>5</v>
      </c>
      <c r="Q1434">
        <v>9.375</v>
      </c>
    </row>
    <row r="1435" spans="1:17" x14ac:dyDescent="0.25">
      <c r="A1435">
        <v>5</v>
      </c>
      <c r="D1435">
        <v>5</v>
      </c>
      <c r="Q1435">
        <v>1.125</v>
      </c>
    </row>
    <row r="1436" spans="1:17" x14ac:dyDescent="0.25">
      <c r="A1436">
        <v>5</v>
      </c>
      <c r="D1436">
        <v>2.25</v>
      </c>
      <c r="Q1436">
        <v>7.5</v>
      </c>
    </row>
    <row r="1437" spans="1:17" x14ac:dyDescent="0.25">
      <c r="A1437">
        <v>5</v>
      </c>
      <c r="D1437">
        <v>5</v>
      </c>
      <c r="Q1437">
        <v>4</v>
      </c>
    </row>
    <row r="1438" spans="1:17" x14ac:dyDescent="0.25">
      <c r="A1438">
        <v>3.75</v>
      </c>
      <c r="D1438">
        <v>5</v>
      </c>
      <c r="Q1438">
        <v>7.5</v>
      </c>
    </row>
    <row r="1439" spans="1:17" x14ac:dyDescent="0.25">
      <c r="A1439">
        <v>3.75</v>
      </c>
      <c r="D1439">
        <v>5.25</v>
      </c>
      <c r="Q1439">
        <v>7.5</v>
      </c>
    </row>
    <row r="1440" spans="1:17" x14ac:dyDescent="0.25">
      <c r="A1440">
        <v>5</v>
      </c>
      <c r="D1440">
        <v>1</v>
      </c>
      <c r="Q1440">
        <v>1.875</v>
      </c>
    </row>
    <row r="1441" spans="1:17" x14ac:dyDescent="0.25">
      <c r="A1441">
        <v>5</v>
      </c>
      <c r="D1441">
        <v>5</v>
      </c>
      <c r="Q1441">
        <v>7.5</v>
      </c>
    </row>
    <row r="1442" spans="1:17" x14ac:dyDescent="0.25">
      <c r="A1442">
        <v>0.5</v>
      </c>
      <c r="D1442">
        <v>5</v>
      </c>
      <c r="Q1442">
        <v>7.5</v>
      </c>
    </row>
    <row r="1443" spans="1:17" x14ac:dyDescent="0.25">
      <c r="A1443">
        <v>10</v>
      </c>
      <c r="D1443">
        <v>6.5</v>
      </c>
      <c r="Q1443">
        <v>1.5</v>
      </c>
    </row>
    <row r="1444" spans="1:17" x14ac:dyDescent="0.25">
      <c r="A1444">
        <v>5</v>
      </c>
      <c r="D1444">
        <v>5</v>
      </c>
      <c r="Q1444">
        <v>7.5</v>
      </c>
    </row>
    <row r="1445" spans="1:17" x14ac:dyDescent="0.25">
      <c r="A1445">
        <v>5</v>
      </c>
      <c r="D1445">
        <v>6.5</v>
      </c>
      <c r="Q1445">
        <v>0.75</v>
      </c>
    </row>
    <row r="1446" spans="1:17" x14ac:dyDescent="0.25">
      <c r="A1446">
        <v>7</v>
      </c>
      <c r="D1446">
        <v>5</v>
      </c>
      <c r="Q1446">
        <v>7.5</v>
      </c>
    </row>
    <row r="1447" spans="1:17" x14ac:dyDescent="0.25">
      <c r="A1447">
        <v>5</v>
      </c>
      <c r="D1447">
        <v>5</v>
      </c>
      <c r="Q1447">
        <v>13.125</v>
      </c>
    </row>
    <row r="1448" spans="1:17" x14ac:dyDescent="0.25">
      <c r="A1448">
        <v>5.25</v>
      </c>
      <c r="D1448">
        <v>5</v>
      </c>
      <c r="Q1448">
        <v>10.5</v>
      </c>
    </row>
    <row r="1449" spans="1:17" x14ac:dyDescent="0.25">
      <c r="A1449">
        <v>5.25</v>
      </c>
      <c r="D1449">
        <v>5</v>
      </c>
      <c r="Q1449">
        <v>7.5</v>
      </c>
    </row>
    <row r="1450" spans="1:17" x14ac:dyDescent="0.25">
      <c r="A1450">
        <v>5</v>
      </c>
      <c r="D1450">
        <v>9</v>
      </c>
      <c r="Q1450">
        <v>2.25</v>
      </c>
    </row>
    <row r="1451" spans="1:17" x14ac:dyDescent="0.25">
      <c r="A1451">
        <v>4.25</v>
      </c>
      <c r="D1451">
        <v>5</v>
      </c>
      <c r="Q1451">
        <v>7.5</v>
      </c>
    </row>
    <row r="1452" spans="1:17" x14ac:dyDescent="0.25">
      <c r="A1452">
        <v>1.5</v>
      </c>
      <c r="D1452">
        <v>5</v>
      </c>
      <c r="Q1452">
        <v>7.5</v>
      </c>
    </row>
    <row r="1453" spans="1:17" x14ac:dyDescent="0.25">
      <c r="A1453">
        <v>4</v>
      </c>
      <c r="D1453">
        <v>4</v>
      </c>
      <c r="Q1453">
        <v>7.5</v>
      </c>
    </row>
    <row r="1454" spans="1:17" x14ac:dyDescent="0.25">
      <c r="A1454">
        <v>5</v>
      </c>
      <c r="D1454">
        <v>5</v>
      </c>
      <c r="Q1454">
        <v>7.5</v>
      </c>
    </row>
    <row r="1455" spans="1:17" x14ac:dyDescent="0.25">
      <c r="A1455">
        <v>5</v>
      </c>
      <c r="D1455">
        <v>4</v>
      </c>
      <c r="Q1455">
        <v>2.25</v>
      </c>
    </row>
    <row r="1456" spans="1:17" x14ac:dyDescent="0.25">
      <c r="A1456">
        <v>5</v>
      </c>
      <c r="D1456">
        <v>5</v>
      </c>
      <c r="Q1456">
        <v>6.75</v>
      </c>
    </row>
    <row r="1457" spans="1:17" x14ac:dyDescent="0.25">
      <c r="A1457">
        <v>1.25</v>
      </c>
      <c r="D1457">
        <v>5</v>
      </c>
      <c r="Q1457">
        <v>6</v>
      </c>
    </row>
    <row r="1458" spans="1:17" x14ac:dyDescent="0.25">
      <c r="A1458">
        <v>5</v>
      </c>
      <c r="D1458">
        <v>5</v>
      </c>
      <c r="Q1458">
        <v>12</v>
      </c>
    </row>
    <row r="1459" spans="1:17" x14ac:dyDescent="0.25">
      <c r="A1459">
        <v>2.75</v>
      </c>
      <c r="D1459">
        <v>4.25</v>
      </c>
      <c r="Q1459">
        <v>5</v>
      </c>
    </row>
    <row r="1460" spans="1:17" x14ac:dyDescent="0.25">
      <c r="A1460">
        <v>5</v>
      </c>
      <c r="D1460">
        <v>10</v>
      </c>
      <c r="Q1460">
        <v>7.5</v>
      </c>
    </row>
    <row r="1461" spans="1:17" x14ac:dyDescent="0.25">
      <c r="A1461">
        <v>3</v>
      </c>
      <c r="D1461">
        <v>5</v>
      </c>
      <c r="Q1461">
        <v>7.875</v>
      </c>
    </row>
    <row r="1462" spans="1:17" x14ac:dyDescent="0.25">
      <c r="A1462">
        <v>5</v>
      </c>
      <c r="D1462">
        <v>2</v>
      </c>
      <c r="Q1462">
        <v>7.5</v>
      </c>
    </row>
    <row r="1463" spans="1:17" x14ac:dyDescent="0.25">
      <c r="A1463">
        <v>10</v>
      </c>
      <c r="D1463">
        <v>4.5</v>
      </c>
      <c r="Q1463">
        <v>7.5</v>
      </c>
    </row>
    <row r="1464" spans="1:17" x14ac:dyDescent="0.25">
      <c r="A1464">
        <v>5</v>
      </c>
      <c r="D1464">
        <v>5.625</v>
      </c>
      <c r="Q1464">
        <v>7.5</v>
      </c>
    </row>
    <row r="1465" spans="1:17" x14ac:dyDescent="0.25">
      <c r="A1465">
        <v>4</v>
      </c>
      <c r="D1465">
        <v>5</v>
      </c>
      <c r="Q1465">
        <v>7.5</v>
      </c>
    </row>
    <row r="1466" spans="1:17" x14ac:dyDescent="0.25">
      <c r="A1466">
        <v>8.25</v>
      </c>
      <c r="D1466">
        <v>10</v>
      </c>
      <c r="Q1466">
        <v>10.5</v>
      </c>
    </row>
    <row r="1467" spans="1:17" x14ac:dyDescent="0.25">
      <c r="A1467">
        <v>5</v>
      </c>
      <c r="D1467">
        <v>5</v>
      </c>
      <c r="Q1467">
        <v>1.5</v>
      </c>
    </row>
    <row r="1468" spans="1:17" x14ac:dyDescent="0.25">
      <c r="A1468">
        <v>1.25</v>
      </c>
      <c r="D1468">
        <v>3</v>
      </c>
      <c r="Q1468">
        <v>7.5</v>
      </c>
    </row>
    <row r="1469" spans="1:17" x14ac:dyDescent="0.25">
      <c r="A1469">
        <v>5</v>
      </c>
      <c r="D1469">
        <v>4.5</v>
      </c>
      <c r="Q1469">
        <v>5</v>
      </c>
    </row>
    <row r="1470" spans="1:17" x14ac:dyDescent="0.25">
      <c r="A1470">
        <v>9.75</v>
      </c>
      <c r="D1470">
        <v>5</v>
      </c>
      <c r="Q1470">
        <v>7.5</v>
      </c>
    </row>
    <row r="1471" spans="1:17" x14ac:dyDescent="0.25">
      <c r="A1471">
        <v>5</v>
      </c>
      <c r="D1471">
        <v>3.5</v>
      </c>
      <c r="Q1471">
        <v>7.5</v>
      </c>
    </row>
    <row r="1472" spans="1:17" x14ac:dyDescent="0.25">
      <c r="A1472">
        <v>5</v>
      </c>
      <c r="D1472">
        <v>5</v>
      </c>
      <c r="Q1472">
        <v>7.5</v>
      </c>
    </row>
    <row r="1473" spans="1:17" x14ac:dyDescent="0.25">
      <c r="A1473">
        <v>2</v>
      </c>
      <c r="D1473">
        <v>5</v>
      </c>
      <c r="Q1473">
        <v>7.5</v>
      </c>
    </row>
    <row r="1474" spans="1:17" x14ac:dyDescent="0.25">
      <c r="A1474">
        <v>7.5</v>
      </c>
      <c r="D1474">
        <v>2</v>
      </c>
      <c r="Q1474">
        <v>1.5</v>
      </c>
    </row>
    <row r="1475" spans="1:17" x14ac:dyDescent="0.25">
      <c r="A1475">
        <v>5</v>
      </c>
      <c r="D1475">
        <v>5</v>
      </c>
      <c r="Q1475">
        <v>7.5</v>
      </c>
    </row>
    <row r="1476" spans="1:17" x14ac:dyDescent="0.25">
      <c r="A1476">
        <v>3</v>
      </c>
      <c r="D1476">
        <v>5</v>
      </c>
      <c r="Q1476">
        <v>7.5</v>
      </c>
    </row>
    <row r="1477" spans="1:17" x14ac:dyDescent="0.25">
      <c r="A1477">
        <v>5.25</v>
      </c>
      <c r="D1477">
        <v>3.75</v>
      </c>
      <c r="Q1477">
        <v>7.5</v>
      </c>
    </row>
    <row r="1478" spans="1:17" x14ac:dyDescent="0.25">
      <c r="A1478">
        <v>0.25</v>
      </c>
      <c r="D1478">
        <v>2.5</v>
      </c>
      <c r="Q1478">
        <v>7.5</v>
      </c>
    </row>
    <row r="1479" spans="1:17" x14ac:dyDescent="0.25">
      <c r="A1479">
        <v>5</v>
      </c>
      <c r="D1479">
        <v>5.25</v>
      </c>
      <c r="Q1479">
        <v>2</v>
      </c>
    </row>
    <row r="1480" spans="1:17" x14ac:dyDescent="0.25">
      <c r="A1480">
        <v>5</v>
      </c>
      <c r="D1480">
        <v>5</v>
      </c>
      <c r="Q1480">
        <v>7.5</v>
      </c>
    </row>
    <row r="1481" spans="1:17" x14ac:dyDescent="0.25">
      <c r="A1481">
        <v>5</v>
      </c>
      <c r="D1481">
        <v>5</v>
      </c>
      <c r="Q1481">
        <v>7.5</v>
      </c>
    </row>
    <row r="1482" spans="1:17" x14ac:dyDescent="0.25">
      <c r="A1482">
        <v>7</v>
      </c>
      <c r="D1482">
        <v>5</v>
      </c>
      <c r="Q1482">
        <v>1.875</v>
      </c>
    </row>
    <row r="1483" spans="1:17" x14ac:dyDescent="0.25">
      <c r="A1483">
        <v>5</v>
      </c>
      <c r="D1483">
        <v>4.5</v>
      </c>
      <c r="Q1483">
        <v>1.5</v>
      </c>
    </row>
    <row r="1484" spans="1:17" x14ac:dyDescent="0.25">
      <c r="A1484">
        <v>5</v>
      </c>
      <c r="D1484">
        <v>2.25</v>
      </c>
      <c r="Q1484">
        <v>7.5</v>
      </c>
    </row>
    <row r="1485" spans="1:17" x14ac:dyDescent="0.25">
      <c r="A1485">
        <v>5</v>
      </c>
      <c r="D1485">
        <v>9</v>
      </c>
      <c r="Q1485">
        <v>7.5</v>
      </c>
    </row>
    <row r="1486" spans="1:17" x14ac:dyDescent="0.25">
      <c r="A1486">
        <v>4.75</v>
      </c>
      <c r="D1486">
        <v>5</v>
      </c>
      <c r="Q1486">
        <v>7.875</v>
      </c>
    </row>
    <row r="1487" spans="1:17" x14ac:dyDescent="0.25">
      <c r="A1487">
        <v>5</v>
      </c>
      <c r="D1487">
        <v>8.625</v>
      </c>
      <c r="Q1487">
        <v>7.5</v>
      </c>
    </row>
    <row r="1488" spans="1:17" x14ac:dyDescent="0.25">
      <c r="A1488">
        <v>5</v>
      </c>
      <c r="D1488">
        <v>5</v>
      </c>
      <c r="Q1488">
        <v>7.875</v>
      </c>
    </row>
    <row r="1489" spans="1:17" x14ac:dyDescent="0.25">
      <c r="A1489">
        <v>5</v>
      </c>
      <c r="D1489">
        <v>2.625</v>
      </c>
      <c r="Q1489">
        <v>7.875</v>
      </c>
    </row>
    <row r="1490" spans="1:17" x14ac:dyDescent="0.25">
      <c r="A1490">
        <v>5</v>
      </c>
      <c r="D1490">
        <v>1.5</v>
      </c>
      <c r="Q1490">
        <v>5</v>
      </c>
    </row>
    <row r="1491" spans="1:17" x14ac:dyDescent="0.25">
      <c r="A1491">
        <v>5</v>
      </c>
      <c r="D1491">
        <v>5</v>
      </c>
      <c r="Q1491">
        <v>5</v>
      </c>
    </row>
    <row r="1492" spans="1:17" x14ac:dyDescent="0.25">
      <c r="A1492">
        <v>10</v>
      </c>
      <c r="D1492">
        <v>5</v>
      </c>
      <c r="Q1492">
        <v>1.875</v>
      </c>
    </row>
    <row r="1493" spans="1:17" x14ac:dyDescent="0.25">
      <c r="A1493">
        <v>10</v>
      </c>
      <c r="D1493">
        <v>1.5</v>
      </c>
      <c r="Q1493">
        <v>7.5</v>
      </c>
    </row>
    <row r="1494" spans="1:17" x14ac:dyDescent="0.25">
      <c r="A1494">
        <v>5</v>
      </c>
      <c r="D1494">
        <v>4</v>
      </c>
      <c r="Q1494">
        <v>6</v>
      </c>
    </row>
    <row r="1495" spans="1:17" x14ac:dyDescent="0.25">
      <c r="A1495">
        <v>5.25</v>
      </c>
      <c r="D1495">
        <v>0.75</v>
      </c>
      <c r="Q1495">
        <v>3</v>
      </c>
    </row>
    <row r="1496" spans="1:17" x14ac:dyDescent="0.25">
      <c r="A1496">
        <v>5</v>
      </c>
      <c r="D1496">
        <v>0.5</v>
      </c>
      <c r="Q1496">
        <v>7.5</v>
      </c>
    </row>
    <row r="1497" spans="1:17" x14ac:dyDescent="0.25">
      <c r="A1497">
        <v>3.5</v>
      </c>
      <c r="D1497">
        <v>5</v>
      </c>
      <c r="Q1497">
        <v>7.5</v>
      </c>
    </row>
    <row r="1498" spans="1:17" x14ac:dyDescent="0.25">
      <c r="A1498">
        <v>5</v>
      </c>
      <c r="D1498">
        <v>0.375</v>
      </c>
      <c r="Q1498">
        <v>7.5</v>
      </c>
    </row>
    <row r="1499" spans="1:17" x14ac:dyDescent="0.25">
      <c r="A1499">
        <v>4</v>
      </c>
      <c r="D1499">
        <v>5</v>
      </c>
      <c r="Q1499">
        <v>7.5</v>
      </c>
    </row>
    <row r="1500" spans="1:17" x14ac:dyDescent="0.25">
      <c r="A1500">
        <v>3.5</v>
      </c>
      <c r="D1500">
        <v>0.5</v>
      </c>
      <c r="Q1500">
        <v>1.875</v>
      </c>
    </row>
    <row r="1501" spans="1:17" x14ac:dyDescent="0.25">
      <c r="A1501">
        <v>4.5</v>
      </c>
      <c r="D1501">
        <v>5</v>
      </c>
      <c r="Q1501">
        <v>5</v>
      </c>
    </row>
    <row r="1502" spans="1:17" x14ac:dyDescent="0.25">
      <c r="A1502">
        <v>3.75</v>
      </c>
      <c r="D1502">
        <v>4</v>
      </c>
      <c r="Q1502">
        <v>1.75</v>
      </c>
    </row>
    <row r="1503" spans="1:17" x14ac:dyDescent="0.25">
      <c r="A1503">
        <v>5</v>
      </c>
      <c r="D1503">
        <v>5</v>
      </c>
      <c r="Q1503">
        <v>9.375</v>
      </c>
    </row>
    <row r="1504" spans="1:17" x14ac:dyDescent="0.25">
      <c r="A1504">
        <v>3.25</v>
      </c>
      <c r="D1504">
        <v>5</v>
      </c>
      <c r="Q1504">
        <v>7.5</v>
      </c>
    </row>
    <row r="1505" spans="1:17" x14ac:dyDescent="0.25">
      <c r="A1505">
        <v>5</v>
      </c>
      <c r="D1505">
        <v>4</v>
      </c>
      <c r="Q1505">
        <v>7.5</v>
      </c>
    </row>
    <row r="1506" spans="1:17" x14ac:dyDescent="0.25">
      <c r="A1506">
        <v>4.5</v>
      </c>
      <c r="D1506">
        <v>5</v>
      </c>
      <c r="Q1506">
        <v>9.75</v>
      </c>
    </row>
    <row r="1507" spans="1:17" x14ac:dyDescent="0.25">
      <c r="A1507">
        <v>5</v>
      </c>
      <c r="D1507">
        <v>1</v>
      </c>
      <c r="Q1507">
        <v>7.5</v>
      </c>
    </row>
    <row r="1508" spans="1:17" x14ac:dyDescent="0.25">
      <c r="A1508">
        <v>5</v>
      </c>
      <c r="D1508">
        <v>5</v>
      </c>
      <c r="Q1508">
        <v>5</v>
      </c>
    </row>
    <row r="1509" spans="1:17" x14ac:dyDescent="0.25">
      <c r="A1509">
        <v>5</v>
      </c>
      <c r="D1509">
        <v>9</v>
      </c>
      <c r="Q1509">
        <v>7.875</v>
      </c>
    </row>
    <row r="1510" spans="1:17" x14ac:dyDescent="0.25">
      <c r="A1510">
        <v>3</v>
      </c>
      <c r="D1510">
        <v>5.5</v>
      </c>
      <c r="Q1510">
        <v>7.5</v>
      </c>
    </row>
    <row r="1511" spans="1:17" x14ac:dyDescent="0.25">
      <c r="A1511">
        <v>7.125</v>
      </c>
      <c r="D1511">
        <v>3</v>
      </c>
      <c r="Q1511">
        <v>1.875</v>
      </c>
    </row>
    <row r="1512" spans="1:17" x14ac:dyDescent="0.25">
      <c r="A1512">
        <v>12</v>
      </c>
      <c r="D1512">
        <v>2.75</v>
      </c>
      <c r="Q1512">
        <v>0.375</v>
      </c>
    </row>
    <row r="1513" spans="1:17" x14ac:dyDescent="0.25">
      <c r="A1513">
        <v>7.5</v>
      </c>
      <c r="D1513">
        <v>5</v>
      </c>
      <c r="Q1513">
        <v>0.75</v>
      </c>
    </row>
    <row r="1514" spans="1:17" x14ac:dyDescent="0.25">
      <c r="A1514">
        <v>12.75</v>
      </c>
      <c r="D1514">
        <v>5.25</v>
      </c>
      <c r="Q1514">
        <v>7.875</v>
      </c>
    </row>
    <row r="1515" spans="1:17" x14ac:dyDescent="0.25">
      <c r="A1515">
        <v>3</v>
      </c>
      <c r="D1515">
        <v>0.5</v>
      </c>
      <c r="Q1515">
        <v>7.5</v>
      </c>
    </row>
    <row r="1516" spans="1:17" x14ac:dyDescent="0.25">
      <c r="A1516">
        <v>3</v>
      </c>
      <c r="D1516">
        <v>5</v>
      </c>
      <c r="Q1516">
        <v>5.625</v>
      </c>
    </row>
    <row r="1517" spans="1:17" x14ac:dyDescent="0.25">
      <c r="A1517">
        <v>7.5</v>
      </c>
      <c r="D1517">
        <v>3.75</v>
      </c>
      <c r="Q1517">
        <v>7.125</v>
      </c>
    </row>
    <row r="1518" spans="1:17" x14ac:dyDescent="0.25">
      <c r="A1518">
        <v>2.25</v>
      </c>
      <c r="D1518">
        <v>0.375</v>
      </c>
      <c r="Q1518">
        <v>7.5</v>
      </c>
    </row>
    <row r="1519" spans="1:17" x14ac:dyDescent="0.25">
      <c r="A1519">
        <v>6</v>
      </c>
      <c r="D1519">
        <v>3.375</v>
      </c>
      <c r="Q1519">
        <v>3.375</v>
      </c>
    </row>
    <row r="1520" spans="1:17" x14ac:dyDescent="0.25">
      <c r="A1520">
        <v>8.625</v>
      </c>
      <c r="D1520">
        <v>3.5</v>
      </c>
      <c r="Q1520">
        <v>3</v>
      </c>
    </row>
    <row r="1521" spans="1:17" x14ac:dyDescent="0.25">
      <c r="A1521">
        <v>7.5</v>
      </c>
      <c r="D1521">
        <v>5</v>
      </c>
      <c r="Q1521">
        <v>5</v>
      </c>
    </row>
    <row r="1522" spans="1:17" x14ac:dyDescent="0.25">
      <c r="A1522">
        <v>5</v>
      </c>
      <c r="D1522">
        <v>5</v>
      </c>
      <c r="Q1522">
        <v>3</v>
      </c>
    </row>
    <row r="1523" spans="1:17" x14ac:dyDescent="0.25">
      <c r="A1523">
        <v>5</v>
      </c>
      <c r="D1523">
        <v>4.75</v>
      </c>
      <c r="Q1523">
        <v>5</v>
      </c>
    </row>
    <row r="1524" spans="1:17" x14ac:dyDescent="0.25">
      <c r="A1524">
        <v>5</v>
      </c>
      <c r="D1524">
        <v>5</v>
      </c>
      <c r="Q1524">
        <v>3</v>
      </c>
    </row>
    <row r="1525" spans="1:17" x14ac:dyDescent="0.25">
      <c r="A1525">
        <v>5.25</v>
      </c>
      <c r="D1525">
        <v>5</v>
      </c>
      <c r="Q1525">
        <v>7.5</v>
      </c>
    </row>
    <row r="1526" spans="1:17" x14ac:dyDescent="0.25">
      <c r="A1526">
        <v>7.5</v>
      </c>
      <c r="D1526">
        <v>0.75</v>
      </c>
      <c r="Q1526">
        <v>0.75</v>
      </c>
    </row>
    <row r="1527" spans="1:17" x14ac:dyDescent="0.25">
      <c r="A1527">
        <v>5.625</v>
      </c>
      <c r="D1527">
        <v>5</v>
      </c>
      <c r="Q1527">
        <v>5.625</v>
      </c>
    </row>
    <row r="1528" spans="1:17" x14ac:dyDescent="0.25">
      <c r="A1528">
        <v>4</v>
      </c>
      <c r="D1528">
        <v>10</v>
      </c>
      <c r="Q1528">
        <v>7.5</v>
      </c>
    </row>
    <row r="1529" spans="1:17" x14ac:dyDescent="0.25">
      <c r="A1529">
        <v>5</v>
      </c>
      <c r="D1529">
        <v>10</v>
      </c>
      <c r="Q1529">
        <v>9.75</v>
      </c>
    </row>
    <row r="1530" spans="1:17" x14ac:dyDescent="0.25">
      <c r="A1530">
        <v>3</v>
      </c>
      <c r="D1530">
        <v>2.25</v>
      </c>
      <c r="Q1530">
        <v>7.5</v>
      </c>
    </row>
    <row r="1531" spans="1:17" x14ac:dyDescent="0.25">
      <c r="A1531">
        <v>7.5</v>
      </c>
      <c r="D1531">
        <v>5</v>
      </c>
      <c r="Q1531">
        <v>6</v>
      </c>
    </row>
    <row r="1532" spans="1:17" x14ac:dyDescent="0.25">
      <c r="A1532">
        <v>12.75</v>
      </c>
      <c r="D1532">
        <v>3.375</v>
      </c>
      <c r="Q1532">
        <v>7.5</v>
      </c>
    </row>
    <row r="1533" spans="1:17" x14ac:dyDescent="0.25">
      <c r="A1533">
        <v>5</v>
      </c>
      <c r="D1533">
        <v>2.5</v>
      </c>
      <c r="Q1533">
        <v>7.5</v>
      </c>
    </row>
    <row r="1534" spans="1:17" x14ac:dyDescent="0.25">
      <c r="A1534">
        <v>5</v>
      </c>
      <c r="D1534">
        <v>5</v>
      </c>
      <c r="Q1534">
        <v>7.5</v>
      </c>
    </row>
    <row r="1535" spans="1:17" x14ac:dyDescent="0.25">
      <c r="A1535">
        <v>4.5</v>
      </c>
      <c r="D1535">
        <v>1.5</v>
      </c>
      <c r="Q1535">
        <v>0.75</v>
      </c>
    </row>
    <row r="1536" spans="1:17" x14ac:dyDescent="0.25">
      <c r="A1536">
        <v>7.5</v>
      </c>
      <c r="D1536">
        <v>9</v>
      </c>
      <c r="Q1536">
        <v>7.5</v>
      </c>
    </row>
    <row r="1537" spans="1:17" x14ac:dyDescent="0.25">
      <c r="A1537">
        <v>7.5</v>
      </c>
      <c r="D1537">
        <v>4.5</v>
      </c>
      <c r="Q1537">
        <v>7.875</v>
      </c>
    </row>
    <row r="1538" spans="1:17" x14ac:dyDescent="0.25">
      <c r="A1538">
        <v>3</v>
      </c>
      <c r="D1538">
        <v>5</v>
      </c>
      <c r="Q1538">
        <v>7.5</v>
      </c>
    </row>
    <row r="1539" spans="1:17" x14ac:dyDescent="0.25">
      <c r="A1539">
        <v>7.5</v>
      </c>
      <c r="D1539">
        <v>10.5</v>
      </c>
      <c r="Q1539">
        <v>7.5</v>
      </c>
    </row>
    <row r="1540" spans="1:17" x14ac:dyDescent="0.25">
      <c r="A1540">
        <v>5.625</v>
      </c>
      <c r="D1540">
        <v>5</v>
      </c>
      <c r="Q1540">
        <v>7.5</v>
      </c>
    </row>
    <row r="1541" spans="1:17" x14ac:dyDescent="0.25">
      <c r="A1541">
        <v>5</v>
      </c>
      <c r="D1541">
        <v>5</v>
      </c>
      <c r="Q1541">
        <v>7.5</v>
      </c>
    </row>
    <row r="1542" spans="1:17" x14ac:dyDescent="0.25">
      <c r="A1542">
        <v>2.75</v>
      </c>
      <c r="D1542">
        <v>5</v>
      </c>
      <c r="Q1542">
        <v>7.5</v>
      </c>
    </row>
    <row r="1543" spans="1:17" x14ac:dyDescent="0.25">
      <c r="A1543">
        <v>5</v>
      </c>
      <c r="D1543">
        <v>3.375</v>
      </c>
      <c r="Q1543">
        <v>7.875</v>
      </c>
    </row>
    <row r="1544" spans="1:17" x14ac:dyDescent="0.25">
      <c r="A1544">
        <v>3.5</v>
      </c>
      <c r="D1544">
        <v>5</v>
      </c>
      <c r="Q1544">
        <v>7.125</v>
      </c>
    </row>
    <row r="1545" spans="1:17" x14ac:dyDescent="0.25">
      <c r="A1545">
        <v>2.25</v>
      </c>
      <c r="D1545">
        <v>5.25</v>
      </c>
      <c r="Q1545">
        <v>7.5</v>
      </c>
    </row>
    <row r="1546" spans="1:17" x14ac:dyDescent="0.25">
      <c r="A1546">
        <v>5.25</v>
      </c>
      <c r="D1546">
        <v>2.5</v>
      </c>
      <c r="Q1546">
        <v>7.5</v>
      </c>
    </row>
    <row r="1547" spans="1:17" x14ac:dyDescent="0.25">
      <c r="A1547">
        <v>5</v>
      </c>
      <c r="D1547">
        <v>5</v>
      </c>
      <c r="Q1547">
        <v>5.25</v>
      </c>
    </row>
    <row r="1548" spans="1:17" x14ac:dyDescent="0.25">
      <c r="A1548">
        <v>5</v>
      </c>
      <c r="D1548">
        <v>0.5</v>
      </c>
      <c r="Q1548">
        <v>9.75</v>
      </c>
    </row>
    <row r="1549" spans="1:17" x14ac:dyDescent="0.25">
      <c r="A1549">
        <v>4</v>
      </c>
      <c r="D1549">
        <v>5</v>
      </c>
      <c r="Q1549">
        <v>7.5</v>
      </c>
    </row>
    <row r="1550" spans="1:17" x14ac:dyDescent="0.25">
      <c r="A1550">
        <v>5</v>
      </c>
      <c r="D1550">
        <v>4.5</v>
      </c>
      <c r="Q1550">
        <v>5</v>
      </c>
    </row>
    <row r="1551" spans="1:17" x14ac:dyDescent="0.25">
      <c r="A1551">
        <v>5</v>
      </c>
      <c r="D1551">
        <v>5</v>
      </c>
      <c r="Q1551">
        <v>3.25</v>
      </c>
    </row>
    <row r="1552" spans="1:17" x14ac:dyDescent="0.25">
      <c r="A1552">
        <v>7.5</v>
      </c>
      <c r="D1552">
        <v>4.5</v>
      </c>
      <c r="Q1552">
        <v>5</v>
      </c>
    </row>
    <row r="1553" spans="1:17" x14ac:dyDescent="0.25">
      <c r="A1553">
        <v>3</v>
      </c>
      <c r="D1553">
        <v>2.625</v>
      </c>
      <c r="Q1553">
        <v>5</v>
      </c>
    </row>
    <row r="1554" spans="1:17" x14ac:dyDescent="0.25">
      <c r="A1554">
        <v>5</v>
      </c>
      <c r="D1554">
        <v>10</v>
      </c>
      <c r="Q1554">
        <v>5</v>
      </c>
    </row>
    <row r="1555" spans="1:17" x14ac:dyDescent="0.25">
      <c r="A1555">
        <v>2.5</v>
      </c>
      <c r="D1555">
        <v>5</v>
      </c>
      <c r="Q1555">
        <v>5</v>
      </c>
    </row>
    <row r="1556" spans="1:17" x14ac:dyDescent="0.25">
      <c r="A1556">
        <v>4</v>
      </c>
      <c r="D1556">
        <v>5</v>
      </c>
      <c r="Q1556">
        <v>5</v>
      </c>
    </row>
    <row r="1557" spans="1:17" x14ac:dyDescent="0.25">
      <c r="A1557">
        <v>5</v>
      </c>
      <c r="D1557">
        <v>5</v>
      </c>
      <c r="Q1557">
        <v>2</v>
      </c>
    </row>
    <row r="1558" spans="1:17" x14ac:dyDescent="0.25">
      <c r="A1558">
        <v>3</v>
      </c>
      <c r="D1558">
        <v>10</v>
      </c>
      <c r="Q1558">
        <v>1</v>
      </c>
    </row>
    <row r="1559" spans="1:17" x14ac:dyDescent="0.25">
      <c r="A1559">
        <v>5</v>
      </c>
      <c r="D1559">
        <v>5.625</v>
      </c>
      <c r="Q1559">
        <v>4</v>
      </c>
    </row>
    <row r="1560" spans="1:17" x14ac:dyDescent="0.25">
      <c r="A1560">
        <v>5</v>
      </c>
      <c r="D1560">
        <v>3</v>
      </c>
      <c r="Q1560">
        <v>5</v>
      </c>
    </row>
    <row r="1561" spans="1:17" x14ac:dyDescent="0.25">
      <c r="A1561">
        <v>5</v>
      </c>
      <c r="D1561">
        <v>0.25</v>
      </c>
      <c r="Q1561">
        <v>5</v>
      </c>
    </row>
    <row r="1562" spans="1:17" x14ac:dyDescent="0.25">
      <c r="A1562">
        <v>5</v>
      </c>
      <c r="D1562">
        <v>5</v>
      </c>
      <c r="Q1562">
        <v>4.5</v>
      </c>
    </row>
    <row r="1563" spans="1:17" x14ac:dyDescent="0.25">
      <c r="A1563">
        <v>10</v>
      </c>
      <c r="D1563">
        <v>3</v>
      </c>
      <c r="Q1563">
        <v>3.5</v>
      </c>
    </row>
    <row r="1564" spans="1:17" x14ac:dyDescent="0.25">
      <c r="A1564">
        <v>5</v>
      </c>
      <c r="D1564">
        <v>5</v>
      </c>
      <c r="Q1564">
        <v>5</v>
      </c>
    </row>
    <row r="1565" spans="1:17" x14ac:dyDescent="0.25">
      <c r="A1565">
        <v>5</v>
      </c>
      <c r="D1565">
        <v>2</v>
      </c>
      <c r="Q1565">
        <v>5</v>
      </c>
    </row>
    <row r="1566" spans="1:17" x14ac:dyDescent="0.25">
      <c r="A1566">
        <v>5</v>
      </c>
      <c r="D1566">
        <v>3</v>
      </c>
      <c r="Q1566">
        <v>5</v>
      </c>
    </row>
    <row r="1567" spans="1:17" x14ac:dyDescent="0.25">
      <c r="A1567">
        <v>3.5</v>
      </c>
      <c r="D1567">
        <v>3.5</v>
      </c>
      <c r="Q1567">
        <v>5</v>
      </c>
    </row>
    <row r="1568" spans="1:17" x14ac:dyDescent="0.25">
      <c r="A1568">
        <v>2.25</v>
      </c>
      <c r="D1568">
        <v>5</v>
      </c>
      <c r="Q1568">
        <v>5.5</v>
      </c>
    </row>
    <row r="1569" spans="1:17" x14ac:dyDescent="0.25">
      <c r="A1569">
        <v>3.25</v>
      </c>
      <c r="D1569">
        <v>7.125</v>
      </c>
      <c r="Q1569">
        <v>6.5</v>
      </c>
    </row>
    <row r="1570" spans="1:17" x14ac:dyDescent="0.25">
      <c r="A1570">
        <v>5</v>
      </c>
      <c r="D1570">
        <v>7.5</v>
      </c>
      <c r="Q1570">
        <v>6.5</v>
      </c>
    </row>
    <row r="1571" spans="1:17" x14ac:dyDescent="0.25">
      <c r="A1571">
        <v>10</v>
      </c>
      <c r="D1571">
        <v>7.5</v>
      </c>
      <c r="Q1571">
        <v>5</v>
      </c>
    </row>
    <row r="1572" spans="1:17" x14ac:dyDescent="0.25">
      <c r="A1572">
        <v>5</v>
      </c>
      <c r="D1572">
        <v>5</v>
      </c>
      <c r="Q1572">
        <v>5</v>
      </c>
    </row>
    <row r="1573" spans="1:17" x14ac:dyDescent="0.25">
      <c r="A1573">
        <v>7.5</v>
      </c>
      <c r="D1573">
        <v>5</v>
      </c>
      <c r="Q1573">
        <v>3.75</v>
      </c>
    </row>
    <row r="1574" spans="1:17" x14ac:dyDescent="0.25">
      <c r="A1574">
        <v>7.5</v>
      </c>
      <c r="D1574">
        <v>2.25</v>
      </c>
      <c r="Q1574">
        <v>5</v>
      </c>
    </row>
    <row r="1575" spans="1:17" x14ac:dyDescent="0.25">
      <c r="A1575">
        <v>6.75</v>
      </c>
      <c r="D1575">
        <v>6.75</v>
      </c>
      <c r="Q1575">
        <v>5</v>
      </c>
    </row>
    <row r="1576" spans="1:17" x14ac:dyDescent="0.25">
      <c r="A1576">
        <v>7.5</v>
      </c>
      <c r="D1576">
        <v>7.5</v>
      </c>
      <c r="Q1576">
        <v>3.5</v>
      </c>
    </row>
    <row r="1577" spans="1:17" x14ac:dyDescent="0.25">
      <c r="A1577">
        <v>2.5</v>
      </c>
      <c r="D1577">
        <v>1.5</v>
      </c>
      <c r="Q1577">
        <v>5</v>
      </c>
    </row>
    <row r="1578" spans="1:17" x14ac:dyDescent="0.25">
      <c r="A1578">
        <v>5</v>
      </c>
      <c r="D1578">
        <v>1.125</v>
      </c>
      <c r="Q1578">
        <v>3.5</v>
      </c>
    </row>
    <row r="1579" spans="1:17" x14ac:dyDescent="0.25">
      <c r="A1579">
        <v>6.75</v>
      </c>
      <c r="D1579">
        <v>7.5</v>
      </c>
      <c r="Q1579">
        <v>5</v>
      </c>
    </row>
    <row r="1580" spans="1:17" x14ac:dyDescent="0.25">
      <c r="A1580">
        <v>3</v>
      </c>
      <c r="D1580">
        <v>9.75</v>
      </c>
      <c r="Q1580">
        <v>4</v>
      </c>
    </row>
    <row r="1581" spans="1:17" x14ac:dyDescent="0.25">
      <c r="A1581">
        <v>7.5</v>
      </c>
      <c r="D1581">
        <v>12.375</v>
      </c>
      <c r="Q1581">
        <v>3</v>
      </c>
    </row>
    <row r="1582" spans="1:17" x14ac:dyDescent="0.25">
      <c r="A1582">
        <v>6.75</v>
      </c>
      <c r="D1582">
        <v>7.5</v>
      </c>
      <c r="Q1582">
        <v>1.25</v>
      </c>
    </row>
    <row r="1583" spans="1:17" x14ac:dyDescent="0.25">
      <c r="A1583">
        <v>2</v>
      </c>
      <c r="D1583">
        <v>3</v>
      </c>
      <c r="Q1583">
        <v>5</v>
      </c>
    </row>
    <row r="1584" spans="1:17" x14ac:dyDescent="0.25">
      <c r="A1584">
        <v>5</v>
      </c>
      <c r="D1584">
        <v>7.5</v>
      </c>
      <c r="Q1584">
        <v>5.25</v>
      </c>
    </row>
    <row r="1585" spans="1:17" x14ac:dyDescent="0.25">
      <c r="A1585">
        <v>3</v>
      </c>
      <c r="D1585">
        <v>7.5</v>
      </c>
      <c r="Q1585">
        <v>5</v>
      </c>
    </row>
    <row r="1586" spans="1:17" x14ac:dyDescent="0.25">
      <c r="A1586">
        <v>2.625</v>
      </c>
      <c r="D1586">
        <v>4.5</v>
      </c>
      <c r="Q1586">
        <v>5</v>
      </c>
    </row>
    <row r="1587" spans="1:17" x14ac:dyDescent="0.25">
      <c r="A1587">
        <v>1.75</v>
      </c>
      <c r="D1587">
        <v>10.875</v>
      </c>
      <c r="Q1587">
        <v>1.5</v>
      </c>
    </row>
    <row r="1588" spans="1:17" x14ac:dyDescent="0.25">
      <c r="A1588">
        <v>7.5</v>
      </c>
      <c r="D1588">
        <v>9.75</v>
      </c>
      <c r="Q1588">
        <v>5</v>
      </c>
    </row>
    <row r="1589" spans="1:17" x14ac:dyDescent="0.25">
      <c r="A1589">
        <v>7.5</v>
      </c>
      <c r="D1589">
        <v>2.25</v>
      </c>
      <c r="Q1589">
        <v>5</v>
      </c>
    </row>
    <row r="1590" spans="1:17" x14ac:dyDescent="0.25">
      <c r="A1590">
        <v>2.625</v>
      </c>
      <c r="D1590">
        <v>4</v>
      </c>
      <c r="Q1590">
        <v>5</v>
      </c>
    </row>
    <row r="1591" spans="1:17" x14ac:dyDescent="0.25">
      <c r="A1591">
        <v>9.75</v>
      </c>
      <c r="D1591">
        <v>7.5</v>
      </c>
      <c r="Q1591">
        <v>5</v>
      </c>
    </row>
    <row r="1592" spans="1:17" x14ac:dyDescent="0.25">
      <c r="A1592">
        <v>12</v>
      </c>
      <c r="D1592">
        <v>4.5</v>
      </c>
      <c r="Q1592">
        <v>3</v>
      </c>
    </row>
    <row r="1593" spans="1:17" x14ac:dyDescent="0.25">
      <c r="A1593">
        <v>6.25</v>
      </c>
      <c r="D1593">
        <v>7.5</v>
      </c>
      <c r="Q1593">
        <v>5</v>
      </c>
    </row>
    <row r="1594" spans="1:17" x14ac:dyDescent="0.25">
      <c r="A1594">
        <v>3.25</v>
      </c>
      <c r="D1594">
        <v>5.25</v>
      </c>
      <c r="Q1594">
        <v>5.25</v>
      </c>
    </row>
    <row r="1595" spans="1:17" x14ac:dyDescent="0.25">
      <c r="A1595">
        <v>10</v>
      </c>
      <c r="D1595">
        <v>3.375</v>
      </c>
      <c r="Q1595">
        <v>3.5</v>
      </c>
    </row>
    <row r="1596" spans="1:17" x14ac:dyDescent="0.25">
      <c r="A1596">
        <v>5</v>
      </c>
      <c r="D1596">
        <v>1.25</v>
      </c>
      <c r="Q1596">
        <v>3.5</v>
      </c>
    </row>
    <row r="1597" spans="1:17" x14ac:dyDescent="0.25">
      <c r="A1597">
        <v>3.5</v>
      </c>
      <c r="D1597">
        <v>9.375</v>
      </c>
      <c r="Q1597">
        <v>3.25</v>
      </c>
    </row>
    <row r="1598" spans="1:17" x14ac:dyDescent="0.25">
      <c r="A1598">
        <v>5</v>
      </c>
      <c r="D1598">
        <v>12</v>
      </c>
      <c r="Q1598">
        <v>5</v>
      </c>
    </row>
    <row r="1599" spans="1:17" x14ac:dyDescent="0.25">
      <c r="A1599">
        <v>10</v>
      </c>
      <c r="D1599">
        <v>4.5</v>
      </c>
      <c r="Q1599">
        <v>5</v>
      </c>
    </row>
    <row r="1600" spans="1:17" x14ac:dyDescent="0.25">
      <c r="A1600">
        <v>10</v>
      </c>
      <c r="D1600">
        <v>7.5</v>
      </c>
      <c r="Q1600">
        <v>8.25</v>
      </c>
    </row>
    <row r="1601" spans="1:17" x14ac:dyDescent="0.25">
      <c r="A1601">
        <v>5</v>
      </c>
      <c r="D1601">
        <v>7.5</v>
      </c>
      <c r="Q1601">
        <v>5</v>
      </c>
    </row>
    <row r="1602" spans="1:17" x14ac:dyDescent="0.25">
      <c r="A1602">
        <v>1.125</v>
      </c>
      <c r="D1602">
        <v>6</v>
      </c>
      <c r="Q1602">
        <v>7.5</v>
      </c>
    </row>
    <row r="1603" spans="1:17" x14ac:dyDescent="0.25">
      <c r="A1603">
        <v>5</v>
      </c>
      <c r="D1603">
        <v>2.5</v>
      </c>
      <c r="Q1603">
        <v>4</v>
      </c>
    </row>
    <row r="1604" spans="1:17" x14ac:dyDescent="0.25">
      <c r="A1604">
        <v>5</v>
      </c>
      <c r="D1604">
        <v>6.75</v>
      </c>
      <c r="Q1604">
        <v>5</v>
      </c>
    </row>
    <row r="1605" spans="1:17" x14ac:dyDescent="0.25">
      <c r="A1605">
        <v>5</v>
      </c>
      <c r="D1605">
        <v>7.5</v>
      </c>
      <c r="Q1605">
        <v>5</v>
      </c>
    </row>
    <row r="1606" spans="1:17" x14ac:dyDescent="0.25">
      <c r="A1606">
        <v>4.75</v>
      </c>
      <c r="D1606">
        <v>7.5</v>
      </c>
      <c r="Q1606">
        <v>1.25</v>
      </c>
    </row>
    <row r="1607" spans="1:17" x14ac:dyDescent="0.25">
      <c r="A1607">
        <v>0.375</v>
      </c>
      <c r="D1607">
        <v>7.875</v>
      </c>
      <c r="Q1607">
        <v>5</v>
      </c>
    </row>
    <row r="1608" spans="1:17" x14ac:dyDescent="0.25">
      <c r="A1608">
        <v>5</v>
      </c>
      <c r="D1608">
        <v>12</v>
      </c>
      <c r="Q1608">
        <v>5</v>
      </c>
    </row>
    <row r="1609" spans="1:17" x14ac:dyDescent="0.25">
      <c r="A1609">
        <v>5.25</v>
      </c>
      <c r="D1609">
        <v>12</v>
      </c>
      <c r="Q1609">
        <v>5</v>
      </c>
    </row>
    <row r="1610" spans="1:17" x14ac:dyDescent="0.25">
      <c r="A1610">
        <v>5</v>
      </c>
      <c r="D1610">
        <v>6</v>
      </c>
      <c r="Q1610">
        <v>5</v>
      </c>
    </row>
    <row r="1611" spans="1:17" x14ac:dyDescent="0.25">
      <c r="A1611">
        <v>7.5</v>
      </c>
      <c r="D1611">
        <v>5</v>
      </c>
      <c r="Q1611">
        <v>7.75</v>
      </c>
    </row>
    <row r="1612" spans="1:17" x14ac:dyDescent="0.25">
      <c r="A1612">
        <v>7.125</v>
      </c>
      <c r="D1612">
        <v>5</v>
      </c>
      <c r="Q1612">
        <v>5.5</v>
      </c>
    </row>
    <row r="1613" spans="1:17" x14ac:dyDescent="0.25">
      <c r="A1613">
        <v>3.75</v>
      </c>
      <c r="D1613">
        <v>7.5</v>
      </c>
      <c r="Q1613">
        <v>5</v>
      </c>
    </row>
    <row r="1614" spans="1:17" x14ac:dyDescent="0.25">
      <c r="A1614">
        <v>7.5</v>
      </c>
      <c r="D1614">
        <v>7.5</v>
      </c>
      <c r="Q1614">
        <v>5</v>
      </c>
    </row>
    <row r="1615" spans="1:17" x14ac:dyDescent="0.25">
      <c r="A1615">
        <v>2.75</v>
      </c>
      <c r="D1615">
        <v>8.625</v>
      </c>
      <c r="Q1615">
        <v>2.25</v>
      </c>
    </row>
    <row r="1616" spans="1:17" x14ac:dyDescent="0.25">
      <c r="A1616">
        <v>5.625</v>
      </c>
      <c r="D1616">
        <v>2</v>
      </c>
      <c r="Q1616">
        <v>5.5</v>
      </c>
    </row>
    <row r="1617" spans="1:17" x14ac:dyDescent="0.25">
      <c r="A1617">
        <v>6.375</v>
      </c>
      <c r="D1617">
        <v>7.5</v>
      </c>
      <c r="Q1617">
        <v>5</v>
      </c>
    </row>
    <row r="1618" spans="1:17" x14ac:dyDescent="0.25">
      <c r="A1618">
        <v>7.5</v>
      </c>
      <c r="D1618">
        <v>3.375</v>
      </c>
      <c r="Q1618">
        <v>3</v>
      </c>
    </row>
    <row r="1619" spans="1:17" x14ac:dyDescent="0.25">
      <c r="A1619">
        <v>2.5</v>
      </c>
      <c r="D1619">
        <v>0.375</v>
      </c>
      <c r="Q1619">
        <v>6</v>
      </c>
    </row>
    <row r="1620" spans="1:17" x14ac:dyDescent="0.25">
      <c r="A1620">
        <v>8</v>
      </c>
      <c r="D1620">
        <v>5.25</v>
      </c>
      <c r="Q1620">
        <v>6.75</v>
      </c>
    </row>
    <row r="1621" spans="1:17" x14ac:dyDescent="0.25">
      <c r="A1621">
        <v>1.5</v>
      </c>
      <c r="D1621">
        <v>3.25</v>
      </c>
      <c r="Q1621">
        <v>5</v>
      </c>
    </row>
    <row r="1622" spans="1:17" x14ac:dyDescent="0.25">
      <c r="A1622">
        <v>7.5</v>
      </c>
      <c r="D1622">
        <v>6.75</v>
      </c>
      <c r="Q1622">
        <v>7</v>
      </c>
    </row>
    <row r="1623" spans="1:17" x14ac:dyDescent="0.25">
      <c r="A1623">
        <v>3</v>
      </c>
      <c r="D1623">
        <v>7.5</v>
      </c>
      <c r="Q1623">
        <v>5</v>
      </c>
    </row>
    <row r="1624" spans="1:17" x14ac:dyDescent="0.25">
      <c r="A1624">
        <v>7.5</v>
      </c>
      <c r="D1624">
        <v>5.25</v>
      </c>
      <c r="Q1624">
        <v>5</v>
      </c>
    </row>
    <row r="1625" spans="1:17" x14ac:dyDescent="0.25">
      <c r="A1625">
        <v>7.5</v>
      </c>
      <c r="D1625">
        <v>3.375</v>
      </c>
      <c r="Q1625">
        <v>5</v>
      </c>
    </row>
    <row r="1626" spans="1:17" x14ac:dyDescent="0.25">
      <c r="A1626">
        <v>7.5</v>
      </c>
      <c r="D1626">
        <v>12</v>
      </c>
      <c r="Q1626">
        <v>5</v>
      </c>
    </row>
    <row r="1627" spans="1:17" x14ac:dyDescent="0.25">
      <c r="A1627">
        <v>5</v>
      </c>
      <c r="D1627">
        <v>7.5</v>
      </c>
      <c r="Q1627">
        <v>5</v>
      </c>
    </row>
    <row r="1628" spans="1:17" x14ac:dyDescent="0.25">
      <c r="A1628">
        <v>5</v>
      </c>
      <c r="D1628">
        <v>5.25</v>
      </c>
      <c r="Q1628">
        <v>5</v>
      </c>
    </row>
    <row r="1629" spans="1:17" x14ac:dyDescent="0.25">
      <c r="A1629">
        <v>1.875</v>
      </c>
      <c r="D1629">
        <v>6.375</v>
      </c>
      <c r="Q1629">
        <v>5</v>
      </c>
    </row>
    <row r="1630" spans="1:17" x14ac:dyDescent="0.25">
      <c r="A1630">
        <v>6</v>
      </c>
      <c r="D1630">
        <v>6.75</v>
      </c>
      <c r="Q1630">
        <v>5</v>
      </c>
    </row>
    <row r="1631" spans="1:17" x14ac:dyDescent="0.25">
      <c r="A1631">
        <v>1.5</v>
      </c>
      <c r="D1631">
        <v>5</v>
      </c>
      <c r="Q1631">
        <v>5</v>
      </c>
    </row>
    <row r="1632" spans="1:17" x14ac:dyDescent="0.25">
      <c r="A1632">
        <v>4</v>
      </c>
      <c r="D1632">
        <v>4</v>
      </c>
      <c r="Q1632">
        <v>3</v>
      </c>
    </row>
    <row r="1633" spans="1:17" x14ac:dyDescent="0.25">
      <c r="A1633">
        <v>2</v>
      </c>
      <c r="D1633">
        <v>1</v>
      </c>
      <c r="Q1633">
        <v>4.25</v>
      </c>
    </row>
    <row r="1634" spans="1:17" x14ac:dyDescent="0.25">
      <c r="A1634">
        <v>5</v>
      </c>
      <c r="D1634">
        <v>7.5</v>
      </c>
      <c r="Q1634">
        <v>5</v>
      </c>
    </row>
    <row r="1635" spans="1:17" x14ac:dyDescent="0.25">
      <c r="A1635">
        <v>5</v>
      </c>
      <c r="D1635">
        <v>7.5</v>
      </c>
      <c r="Q1635">
        <v>5</v>
      </c>
    </row>
    <row r="1636" spans="1:17" x14ac:dyDescent="0.25">
      <c r="A1636">
        <v>5</v>
      </c>
      <c r="D1636">
        <v>6</v>
      </c>
      <c r="Q1636">
        <v>5.5</v>
      </c>
    </row>
    <row r="1637" spans="1:17" x14ac:dyDescent="0.25">
      <c r="A1637">
        <v>5</v>
      </c>
      <c r="D1637">
        <v>4.5</v>
      </c>
      <c r="Q1637">
        <v>5</v>
      </c>
    </row>
    <row r="1638" spans="1:17" x14ac:dyDescent="0.25">
      <c r="A1638">
        <v>5</v>
      </c>
      <c r="D1638">
        <v>7.5</v>
      </c>
      <c r="Q1638">
        <v>4</v>
      </c>
    </row>
    <row r="1639" spans="1:17" x14ac:dyDescent="0.25">
      <c r="A1639">
        <v>5</v>
      </c>
      <c r="D1639">
        <v>2</v>
      </c>
      <c r="Q1639">
        <v>1</v>
      </c>
    </row>
    <row r="1640" spans="1:17" x14ac:dyDescent="0.25">
      <c r="A1640">
        <v>6</v>
      </c>
      <c r="D1640">
        <v>0.5</v>
      </c>
      <c r="Q1640">
        <v>5</v>
      </c>
    </row>
    <row r="1641" spans="1:17" x14ac:dyDescent="0.25">
      <c r="A1641">
        <v>18</v>
      </c>
      <c r="D1641">
        <v>7.875</v>
      </c>
      <c r="Q1641">
        <v>5</v>
      </c>
    </row>
    <row r="1642" spans="1:17" x14ac:dyDescent="0.25">
      <c r="A1642">
        <v>7.5</v>
      </c>
      <c r="D1642">
        <v>7.5</v>
      </c>
      <c r="Q1642">
        <v>5</v>
      </c>
    </row>
    <row r="1643" spans="1:17" x14ac:dyDescent="0.25">
      <c r="A1643">
        <v>9.375</v>
      </c>
      <c r="D1643">
        <v>7.5</v>
      </c>
      <c r="Q1643">
        <v>5.25</v>
      </c>
    </row>
    <row r="1644" spans="1:17" x14ac:dyDescent="0.25">
      <c r="A1644">
        <v>12</v>
      </c>
      <c r="D1644">
        <v>7.5</v>
      </c>
      <c r="Q1644">
        <v>5</v>
      </c>
    </row>
    <row r="1645" spans="1:17" x14ac:dyDescent="0.25">
      <c r="A1645">
        <v>3.25</v>
      </c>
      <c r="D1645">
        <v>7.5</v>
      </c>
      <c r="Q1645">
        <v>5</v>
      </c>
    </row>
    <row r="1646" spans="1:17" x14ac:dyDescent="0.25">
      <c r="A1646">
        <v>1.75</v>
      </c>
      <c r="D1646">
        <v>7.5</v>
      </c>
      <c r="Q1646">
        <v>5</v>
      </c>
    </row>
    <row r="1647" spans="1:17" x14ac:dyDescent="0.25">
      <c r="A1647">
        <v>7.5</v>
      </c>
      <c r="D1647">
        <v>6.375</v>
      </c>
      <c r="Q1647">
        <v>6.5</v>
      </c>
    </row>
    <row r="1648" spans="1:17" x14ac:dyDescent="0.25">
      <c r="A1648">
        <v>1.5</v>
      </c>
      <c r="D1648">
        <v>7</v>
      </c>
      <c r="Q1648">
        <v>5</v>
      </c>
    </row>
    <row r="1649" spans="1:17" x14ac:dyDescent="0.25">
      <c r="A1649">
        <v>11.75</v>
      </c>
      <c r="D1649">
        <v>6</v>
      </c>
      <c r="Q1649">
        <v>3.5</v>
      </c>
    </row>
    <row r="1650" spans="1:17" x14ac:dyDescent="0.25">
      <c r="A1650">
        <v>6</v>
      </c>
      <c r="D1650">
        <v>7.5</v>
      </c>
      <c r="Q1650">
        <v>5</v>
      </c>
    </row>
    <row r="1651" spans="1:17" x14ac:dyDescent="0.25">
      <c r="A1651">
        <v>5</v>
      </c>
      <c r="D1651">
        <v>15.375</v>
      </c>
      <c r="Q1651">
        <v>2.25</v>
      </c>
    </row>
    <row r="1652" spans="1:17" x14ac:dyDescent="0.25">
      <c r="A1652">
        <v>11</v>
      </c>
      <c r="D1652">
        <v>12.375</v>
      </c>
      <c r="Q1652">
        <v>5</v>
      </c>
    </row>
    <row r="1653" spans="1:17" x14ac:dyDescent="0.25">
      <c r="A1653">
        <v>3.25</v>
      </c>
      <c r="D1653">
        <v>7.5</v>
      </c>
      <c r="Q1653">
        <v>3.5</v>
      </c>
    </row>
    <row r="1654" spans="1:17" x14ac:dyDescent="0.25">
      <c r="A1654">
        <v>3</v>
      </c>
      <c r="D1654">
        <v>7.5</v>
      </c>
      <c r="Q1654">
        <v>3</v>
      </c>
    </row>
    <row r="1655" spans="1:17" x14ac:dyDescent="0.25">
      <c r="A1655">
        <v>9</v>
      </c>
      <c r="D1655">
        <v>12</v>
      </c>
      <c r="Q1655">
        <v>5</v>
      </c>
    </row>
    <row r="1656" spans="1:17" x14ac:dyDescent="0.25">
      <c r="A1656">
        <v>5.625</v>
      </c>
      <c r="D1656">
        <v>0.375</v>
      </c>
      <c r="Q1656">
        <v>1.25</v>
      </c>
    </row>
    <row r="1657" spans="1:17" x14ac:dyDescent="0.25">
      <c r="A1657">
        <v>3.375</v>
      </c>
      <c r="D1657">
        <v>6.375</v>
      </c>
      <c r="Q1657">
        <v>5</v>
      </c>
    </row>
    <row r="1658" spans="1:17" x14ac:dyDescent="0.25">
      <c r="A1658">
        <v>1.25</v>
      </c>
      <c r="D1658">
        <v>1.5</v>
      </c>
      <c r="Q1658">
        <v>6.5</v>
      </c>
    </row>
    <row r="1659" spans="1:17" x14ac:dyDescent="0.25">
      <c r="A1659">
        <v>8</v>
      </c>
      <c r="D1659">
        <v>0.375</v>
      </c>
      <c r="Q1659">
        <v>5</v>
      </c>
    </row>
    <row r="1660" spans="1:17" x14ac:dyDescent="0.25">
      <c r="A1660">
        <v>5</v>
      </c>
      <c r="D1660">
        <v>0.75</v>
      </c>
      <c r="Q1660">
        <v>3</v>
      </c>
    </row>
    <row r="1661" spans="1:17" x14ac:dyDescent="0.25">
      <c r="A1661">
        <v>0.375</v>
      </c>
      <c r="D1661">
        <v>7.5</v>
      </c>
      <c r="Q1661">
        <v>5</v>
      </c>
    </row>
    <row r="1662" spans="1:17" x14ac:dyDescent="0.25">
      <c r="A1662">
        <v>5</v>
      </c>
      <c r="D1662">
        <v>7.5</v>
      </c>
      <c r="Q1662">
        <v>5</v>
      </c>
    </row>
    <row r="1663" spans="1:17" x14ac:dyDescent="0.25">
      <c r="A1663">
        <v>3.75</v>
      </c>
      <c r="D1663">
        <v>7.125</v>
      </c>
      <c r="Q1663">
        <v>5</v>
      </c>
    </row>
    <row r="1664" spans="1:17" x14ac:dyDescent="0.25">
      <c r="A1664">
        <v>3.25</v>
      </c>
      <c r="D1664">
        <v>6.75</v>
      </c>
      <c r="Q1664">
        <v>5.75</v>
      </c>
    </row>
    <row r="1665" spans="1:17" x14ac:dyDescent="0.25">
      <c r="A1665">
        <v>0.75</v>
      </c>
      <c r="D1665">
        <v>1.5</v>
      </c>
      <c r="Q1665">
        <v>5</v>
      </c>
    </row>
    <row r="1666" spans="1:17" x14ac:dyDescent="0.25">
      <c r="A1666">
        <v>7.5</v>
      </c>
      <c r="D1666">
        <v>7.5</v>
      </c>
      <c r="Q1666">
        <v>4</v>
      </c>
    </row>
    <row r="1667" spans="1:17" x14ac:dyDescent="0.25">
      <c r="A1667">
        <v>7.125</v>
      </c>
      <c r="D1667">
        <v>7.5</v>
      </c>
      <c r="Q1667">
        <v>4</v>
      </c>
    </row>
    <row r="1668" spans="1:17" x14ac:dyDescent="0.25">
      <c r="A1668">
        <v>6</v>
      </c>
      <c r="D1668">
        <v>7.875</v>
      </c>
      <c r="Q1668">
        <v>5</v>
      </c>
    </row>
    <row r="1669" spans="1:17" x14ac:dyDescent="0.25">
      <c r="A1669">
        <v>12</v>
      </c>
      <c r="D1669">
        <v>3.375</v>
      </c>
      <c r="Q1669">
        <v>3.5</v>
      </c>
    </row>
    <row r="1670" spans="1:17" x14ac:dyDescent="0.25">
      <c r="A1670">
        <v>5</v>
      </c>
      <c r="D1670">
        <v>12</v>
      </c>
      <c r="Q1670">
        <v>5</v>
      </c>
    </row>
    <row r="1671" spans="1:17" x14ac:dyDescent="0.25">
      <c r="A1671">
        <v>2.75</v>
      </c>
      <c r="D1671">
        <v>6</v>
      </c>
      <c r="Q1671">
        <v>13.25</v>
      </c>
    </row>
    <row r="1672" spans="1:17" x14ac:dyDescent="0.25">
      <c r="A1672">
        <v>1.125</v>
      </c>
      <c r="D1672">
        <v>14.625</v>
      </c>
      <c r="Q1672">
        <v>6.75</v>
      </c>
    </row>
    <row r="1673" spans="1:17" x14ac:dyDescent="0.25">
      <c r="A1673">
        <v>3</v>
      </c>
      <c r="D1673">
        <v>7.5</v>
      </c>
      <c r="Q1673">
        <v>5</v>
      </c>
    </row>
    <row r="1674" spans="1:17" x14ac:dyDescent="0.25">
      <c r="A1674">
        <v>5</v>
      </c>
      <c r="D1674">
        <v>6.375</v>
      </c>
      <c r="Q1674">
        <v>2</v>
      </c>
    </row>
    <row r="1675" spans="1:17" x14ac:dyDescent="0.25">
      <c r="A1675">
        <v>5</v>
      </c>
      <c r="D1675">
        <v>7.5</v>
      </c>
      <c r="Q1675">
        <v>5</v>
      </c>
    </row>
    <row r="1676" spans="1:17" x14ac:dyDescent="0.25">
      <c r="A1676">
        <v>7.5</v>
      </c>
      <c r="D1676">
        <v>7.5</v>
      </c>
      <c r="Q1676">
        <v>5</v>
      </c>
    </row>
    <row r="1677" spans="1:17" x14ac:dyDescent="0.25">
      <c r="A1677">
        <v>7.5</v>
      </c>
      <c r="D1677">
        <v>1.5</v>
      </c>
      <c r="Q1677">
        <v>5</v>
      </c>
    </row>
    <row r="1678" spans="1:17" x14ac:dyDescent="0.25">
      <c r="A1678">
        <v>2.25</v>
      </c>
      <c r="D1678">
        <v>1.5</v>
      </c>
      <c r="Q1678">
        <v>4</v>
      </c>
    </row>
    <row r="1679" spans="1:17" x14ac:dyDescent="0.25">
      <c r="A1679">
        <v>2.75</v>
      </c>
      <c r="D1679">
        <v>18</v>
      </c>
      <c r="Q1679">
        <v>5</v>
      </c>
    </row>
    <row r="1680" spans="1:17" x14ac:dyDescent="0.25">
      <c r="A1680">
        <v>4.875</v>
      </c>
      <c r="D1680">
        <v>7.5</v>
      </c>
      <c r="Q1680">
        <v>5</v>
      </c>
    </row>
    <row r="1681" spans="1:17" x14ac:dyDescent="0.25">
      <c r="A1681">
        <v>9.75</v>
      </c>
      <c r="D1681">
        <v>5.625</v>
      </c>
      <c r="Q1681">
        <v>5</v>
      </c>
    </row>
    <row r="1682" spans="1:17" x14ac:dyDescent="0.25">
      <c r="A1682">
        <v>7.5</v>
      </c>
      <c r="D1682">
        <v>12</v>
      </c>
      <c r="Q1682">
        <v>5</v>
      </c>
    </row>
    <row r="1683" spans="1:17" x14ac:dyDescent="0.25">
      <c r="A1683">
        <v>10.5</v>
      </c>
      <c r="D1683">
        <v>7.5</v>
      </c>
      <c r="Q1683">
        <v>5.25</v>
      </c>
    </row>
    <row r="1684" spans="1:17" x14ac:dyDescent="0.25">
      <c r="A1684">
        <v>6.25</v>
      </c>
      <c r="D1684">
        <v>8.625</v>
      </c>
      <c r="Q1684">
        <v>5</v>
      </c>
    </row>
    <row r="1685" spans="1:17" x14ac:dyDescent="0.25">
      <c r="A1685">
        <v>5.25</v>
      </c>
      <c r="D1685">
        <v>12</v>
      </c>
      <c r="Q1685">
        <v>5</v>
      </c>
    </row>
    <row r="1686" spans="1:17" x14ac:dyDescent="0.25">
      <c r="A1686">
        <v>1.5</v>
      </c>
      <c r="D1686">
        <v>6</v>
      </c>
      <c r="Q1686">
        <v>5.5</v>
      </c>
    </row>
    <row r="1687" spans="1:17" x14ac:dyDescent="0.25">
      <c r="A1687">
        <v>5</v>
      </c>
      <c r="D1687">
        <v>7.5</v>
      </c>
      <c r="Q1687">
        <v>4</v>
      </c>
    </row>
    <row r="1688" spans="1:17" x14ac:dyDescent="0.25">
      <c r="A1688">
        <v>7.5</v>
      </c>
      <c r="D1688">
        <v>12</v>
      </c>
      <c r="Q1688">
        <v>5</v>
      </c>
    </row>
    <row r="1689" spans="1:17" x14ac:dyDescent="0.25">
      <c r="A1689">
        <v>5</v>
      </c>
      <c r="D1689">
        <v>7.875</v>
      </c>
      <c r="Q1689">
        <v>5</v>
      </c>
    </row>
    <row r="1690" spans="1:17" x14ac:dyDescent="0.25">
      <c r="A1690">
        <v>7.5</v>
      </c>
      <c r="D1690">
        <v>0.75</v>
      </c>
      <c r="Q1690">
        <v>5</v>
      </c>
    </row>
    <row r="1691" spans="1:17" x14ac:dyDescent="0.25">
      <c r="A1691">
        <v>7.875</v>
      </c>
      <c r="D1691">
        <v>9.375</v>
      </c>
      <c r="Q1691">
        <v>2.5</v>
      </c>
    </row>
    <row r="1692" spans="1:17" x14ac:dyDescent="0.25">
      <c r="A1692">
        <v>0.75</v>
      </c>
      <c r="D1692">
        <v>4</v>
      </c>
      <c r="Q1692">
        <v>4.75</v>
      </c>
    </row>
    <row r="1693" spans="1:17" x14ac:dyDescent="0.25">
      <c r="A1693">
        <v>7.5</v>
      </c>
      <c r="D1693">
        <v>4</v>
      </c>
      <c r="Q1693">
        <v>5</v>
      </c>
    </row>
    <row r="1694" spans="1:17" x14ac:dyDescent="0.25">
      <c r="A1694">
        <v>7.5</v>
      </c>
      <c r="D1694">
        <v>7.5</v>
      </c>
      <c r="Q1694">
        <v>5</v>
      </c>
    </row>
    <row r="1695" spans="1:17" x14ac:dyDescent="0.25">
      <c r="A1695">
        <v>3</v>
      </c>
      <c r="D1695">
        <v>7.5</v>
      </c>
      <c r="Q1695">
        <v>5</v>
      </c>
    </row>
    <row r="1696" spans="1:17" x14ac:dyDescent="0.25">
      <c r="A1696">
        <v>7.5</v>
      </c>
      <c r="D1696">
        <v>7.5</v>
      </c>
      <c r="Q1696">
        <v>5</v>
      </c>
    </row>
    <row r="1697" spans="1:17" x14ac:dyDescent="0.25">
      <c r="A1697">
        <v>7.5</v>
      </c>
      <c r="D1697">
        <v>0.75</v>
      </c>
      <c r="Q1697">
        <v>2.5</v>
      </c>
    </row>
    <row r="1698" spans="1:17" x14ac:dyDescent="0.25">
      <c r="A1698">
        <v>7.5</v>
      </c>
      <c r="D1698">
        <v>13.125</v>
      </c>
      <c r="Q1698">
        <v>5</v>
      </c>
    </row>
    <row r="1699" spans="1:17" x14ac:dyDescent="0.25">
      <c r="A1699">
        <v>10.5</v>
      </c>
      <c r="D1699">
        <v>10.5</v>
      </c>
      <c r="Q1699">
        <v>5</v>
      </c>
    </row>
    <row r="1700" spans="1:17" x14ac:dyDescent="0.25">
      <c r="A1700">
        <v>5.75</v>
      </c>
      <c r="D1700">
        <v>5.625</v>
      </c>
      <c r="Q1700">
        <v>5</v>
      </c>
    </row>
    <row r="1701" spans="1:17" x14ac:dyDescent="0.25">
      <c r="A1701">
        <v>7.5</v>
      </c>
      <c r="D1701">
        <v>6</v>
      </c>
      <c r="Q1701">
        <v>5</v>
      </c>
    </row>
    <row r="1702" spans="1:17" x14ac:dyDescent="0.25">
      <c r="A1702">
        <v>1.5</v>
      </c>
      <c r="D1702">
        <v>12</v>
      </c>
      <c r="Q1702">
        <v>3.5</v>
      </c>
    </row>
    <row r="1703" spans="1:17" x14ac:dyDescent="0.25">
      <c r="A1703">
        <v>7.5</v>
      </c>
      <c r="D1703">
        <v>7.5</v>
      </c>
      <c r="Q1703">
        <v>2.5</v>
      </c>
    </row>
    <row r="1704" spans="1:17" x14ac:dyDescent="0.25">
      <c r="A1704">
        <v>5</v>
      </c>
      <c r="D1704">
        <v>8.625</v>
      </c>
      <c r="Q1704">
        <v>5</v>
      </c>
    </row>
    <row r="1705" spans="1:17" x14ac:dyDescent="0.25">
      <c r="A1705">
        <v>5</v>
      </c>
      <c r="D1705">
        <v>3.75</v>
      </c>
      <c r="Q1705">
        <v>5</v>
      </c>
    </row>
    <row r="1706" spans="1:17" x14ac:dyDescent="0.25">
      <c r="A1706">
        <v>7.5</v>
      </c>
      <c r="D1706">
        <v>0.75</v>
      </c>
      <c r="Q1706">
        <v>5</v>
      </c>
    </row>
    <row r="1707" spans="1:17" x14ac:dyDescent="0.25">
      <c r="A1707">
        <v>7.5</v>
      </c>
      <c r="D1707">
        <v>12</v>
      </c>
      <c r="Q1707">
        <v>4.5</v>
      </c>
    </row>
    <row r="1708" spans="1:17" x14ac:dyDescent="0.25">
      <c r="A1708">
        <v>5</v>
      </c>
      <c r="D1708">
        <v>12</v>
      </c>
      <c r="Q1708">
        <v>4</v>
      </c>
    </row>
    <row r="1709" spans="1:17" x14ac:dyDescent="0.25">
      <c r="A1709">
        <v>7.5</v>
      </c>
      <c r="D1709">
        <v>1.5</v>
      </c>
      <c r="Q1709">
        <v>2</v>
      </c>
    </row>
    <row r="1710" spans="1:17" x14ac:dyDescent="0.25">
      <c r="A1710">
        <v>7.5</v>
      </c>
      <c r="D1710">
        <v>8.625</v>
      </c>
      <c r="Q1710">
        <v>5</v>
      </c>
    </row>
    <row r="1711" spans="1:17" x14ac:dyDescent="0.25">
      <c r="A1711">
        <v>1.5</v>
      </c>
      <c r="D1711">
        <v>11.25</v>
      </c>
      <c r="Q1711">
        <v>10.125</v>
      </c>
    </row>
    <row r="1712" spans="1:17" x14ac:dyDescent="0.25">
      <c r="A1712">
        <v>7.5</v>
      </c>
      <c r="D1712">
        <v>6</v>
      </c>
      <c r="Q1712">
        <v>5</v>
      </c>
    </row>
    <row r="1713" spans="1:17" x14ac:dyDescent="0.25">
      <c r="A1713">
        <v>7.5</v>
      </c>
      <c r="D1713">
        <v>7.5</v>
      </c>
      <c r="Q1713">
        <v>7.75</v>
      </c>
    </row>
    <row r="1714" spans="1:17" x14ac:dyDescent="0.25">
      <c r="A1714">
        <v>4</v>
      </c>
      <c r="D1714">
        <v>8.25</v>
      </c>
      <c r="Q1714">
        <v>6.75</v>
      </c>
    </row>
    <row r="1715" spans="1:17" x14ac:dyDescent="0.25">
      <c r="A1715">
        <v>10.5</v>
      </c>
      <c r="D1715">
        <v>7.125</v>
      </c>
      <c r="Q1715">
        <v>3</v>
      </c>
    </row>
    <row r="1716" spans="1:17" x14ac:dyDescent="0.25">
      <c r="A1716">
        <v>7.5</v>
      </c>
      <c r="D1716">
        <v>7.5</v>
      </c>
      <c r="Q1716">
        <v>4.75</v>
      </c>
    </row>
    <row r="1717" spans="1:17" x14ac:dyDescent="0.25">
      <c r="A1717">
        <v>5</v>
      </c>
      <c r="D1717">
        <v>12</v>
      </c>
      <c r="Q1717">
        <v>6</v>
      </c>
    </row>
    <row r="1718" spans="1:17" x14ac:dyDescent="0.25">
      <c r="A1718">
        <v>7.5</v>
      </c>
      <c r="D1718">
        <v>2.25</v>
      </c>
      <c r="Q1718">
        <v>5</v>
      </c>
    </row>
    <row r="1719" spans="1:17" x14ac:dyDescent="0.25">
      <c r="A1719">
        <v>7.5</v>
      </c>
      <c r="D1719">
        <v>18</v>
      </c>
      <c r="Q1719">
        <v>5</v>
      </c>
    </row>
    <row r="1720" spans="1:17" x14ac:dyDescent="0.25">
      <c r="A1720">
        <v>7.5</v>
      </c>
      <c r="D1720">
        <v>5</v>
      </c>
      <c r="Q1720">
        <v>5.5</v>
      </c>
    </row>
    <row r="1721" spans="1:17" x14ac:dyDescent="0.25">
      <c r="A1721">
        <v>2</v>
      </c>
      <c r="D1721">
        <v>5</v>
      </c>
      <c r="Q1721">
        <v>5</v>
      </c>
    </row>
    <row r="1722" spans="1:17" x14ac:dyDescent="0.25">
      <c r="A1722">
        <v>7.5</v>
      </c>
      <c r="D1722">
        <v>4</v>
      </c>
      <c r="Q1722">
        <v>7.25</v>
      </c>
    </row>
    <row r="1723" spans="1:17" x14ac:dyDescent="0.25">
      <c r="A1723">
        <v>7.5</v>
      </c>
      <c r="D1723">
        <v>10</v>
      </c>
      <c r="Q1723">
        <v>5</v>
      </c>
    </row>
    <row r="1724" spans="1:17" x14ac:dyDescent="0.25">
      <c r="A1724">
        <v>1.875</v>
      </c>
      <c r="D1724">
        <v>5</v>
      </c>
      <c r="Q1724">
        <v>5</v>
      </c>
    </row>
    <row r="1725" spans="1:17" x14ac:dyDescent="0.25">
      <c r="A1725">
        <v>3</v>
      </c>
      <c r="D1725">
        <v>5</v>
      </c>
      <c r="Q1725">
        <v>5</v>
      </c>
    </row>
    <row r="1726" spans="1:17" x14ac:dyDescent="0.25">
      <c r="A1726">
        <v>1.5</v>
      </c>
      <c r="D1726">
        <v>5</v>
      </c>
      <c r="Q1726">
        <v>3</v>
      </c>
    </row>
    <row r="1727" spans="1:17" x14ac:dyDescent="0.25">
      <c r="A1727">
        <v>7.5</v>
      </c>
      <c r="D1727">
        <v>5</v>
      </c>
      <c r="Q1727">
        <v>5</v>
      </c>
    </row>
    <row r="1728" spans="1:17" x14ac:dyDescent="0.25">
      <c r="A1728">
        <v>7.5</v>
      </c>
      <c r="D1728">
        <v>4.25</v>
      </c>
      <c r="Q1728">
        <v>5.25</v>
      </c>
    </row>
    <row r="1729" spans="1:17" x14ac:dyDescent="0.25">
      <c r="A1729">
        <v>7.875</v>
      </c>
      <c r="D1729">
        <v>2.5</v>
      </c>
      <c r="Q1729">
        <v>5</v>
      </c>
    </row>
    <row r="1730" spans="1:17" x14ac:dyDescent="0.25">
      <c r="A1730">
        <v>7.5</v>
      </c>
      <c r="D1730">
        <v>5</v>
      </c>
      <c r="Q1730">
        <v>5</v>
      </c>
    </row>
    <row r="1731" spans="1:17" x14ac:dyDescent="0.25">
      <c r="A1731">
        <v>5</v>
      </c>
      <c r="D1731">
        <v>5</v>
      </c>
      <c r="Q1731">
        <v>6</v>
      </c>
    </row>
    <row r="1732" spans="1:17" x14ac:dyDescent="0.25">
      <c r="A1732">
        <v>7.875</v>
      </c>
      <c r="D1732">
        <v>3.25</v>
      </c>
      <c r="Q1732">
        <v>4.5</v>
      </c>
    </row>
    <row r="1733" spans="1:17" x14ac:dyDescent="0.25">
      <c r="A1733">
        <v>7.5</v>
      </c>
      <c r="D1733">
        <v>5</v>
      </c>
      <c r="Q1733">
        <v>5</v>
      </c>
    </row>
    <row r="1734" spans="1:17" x14ac:dyDescent="0.25">
      <c r="A1734">
        <v>4.875</v>
      </c>
      <c r="D1734">
        <v>5.25</v>
      </c>
      <c r="Q1734">
        <v>5</v>
      </c>
    </row>
    <row r="1735" spans="1:17" x14ac:dyDescent="0.25">
      <c r="A1735">
        <v>7.875</v>
      </c>
      <c r="D1735">
        <v>1.25</v>
      </c>
      <c r="Q1735">
        <v>5</v>
      </c>
    </row>
    <row r="1736" spans="1:17" x14ac:dyDescent="0.25">
      <c r="A1736">
        <v>5</v>
      </c>
      <c r="D1736">
        <v>5</v>
      </c>
      <c r="Q1736">
        <v>3</v>
      </c>
    </row>
    <row r="1737" spans="1:17" x14ac:dyDescent="0.25">
      <c r="A1737">
        <v>5</v>
      </c>
      <c r="D1737">
        <v>5</v>
      </c>
      <c r="Q1737">
        <v>5</v>
      </c>
    </row>
    <row r="1738" spans="1:17" x14ac:dyDescent="0.25">
      <c r="A1738">
        <v>7.5</v>
      </c>
      <c r="D1738">
        <v>2</v>
      </c>
      <c r="Q1738">
        <v>6.5</v>
      </c>
    </row>
    <row r="1739" spans="1:17" x14ac:dyDescent="0.25">
      <c r="A1739">
        <v>1.875</v>
      </c>
      <c r="D1739">
        <v>10</v>
      </c>
      <c r="Q1739">
        <v>5</v>
      </c>
    </row>
    <row r="1740" spans="1:17" x14ac:dyDescent="0.25">
      <c r="A1740">
        <v>5</v>
      </c>
      <c r="D1740">
        <v>5</v>
      </c>
      <c r="Q1740">
        <v>5</v>
      </c>
    </row>
    <row r="1741" spans="1:17" x14ac:dyDescent="0.25">
      <c r="A1741">
        <v>7.5</v>
      </c>
      <c r="D1741">
        <v>5</v>
      </c>
      <c r="Q1741">
        <v>3</v>
      </c>
    </row>
    <row r="1742" spans="1:17" x14ac:dyDescent="0.25">
      <c r="A1742">
        <v>6</v>
      </c>
      <c r="D1742">
        <v>5</v>
      </c>
      <c r="Q1742">
        <v>5</v>
      </c>
    </row>
    <row r="1743" spans="1:17" x14ac:dyDescent="0.25">
      <c r="A1743">
        <v>3</v>
      </c>
      <c r="D1743">
        <v>4.5</v>
      </c>
      <c r="Q1743">
        <v>5</v>
      </c>
    </row>
    <row r="1744" spans="1:17" x14ac:dyDescent="0.25">
      <c r="A1744">
        <v>7.5</v>
      </c>
      <c r="D1744">
        <v>5</v>
      </c>
      <c r="Q1744">
        <v>7</v>
      </c>
    </row>
    <row r="1745" spans="1:17" x14ac:dyDescent="0.25">
      <c r="A1745">
        <v>7.5</v>
      </c>
      <c r="D1745">
        <v>5.5</v>
      </c>
      <c r="Q1745">
        <v>5</v>
      </c>
    </row>
    <row r="1746" spans="1:17" x14ac:dyDescent="0.25">
      <c r="A1746">
        <v>7.5</v>
      </c>
      <c r="D1746">
        <v>5</v>
      </c>
      <c r="Q1746">
        <v>5</v>
      </c>
    </row>
    <row r="1747" spans="1:17" x14ac:dyDescent="0.25">
      <c r="A1747">
        <v>7.5</v>
      </c>
      <c r="D1747">
        <v>5</v>
      </c>
      <c r="Q1747">
        <v>5</v>
      </c>
    </row>
    <row r="1748" spans="1:17" x14ac:dyDescent="0.25">
      <c r="A1748">
        <v>1.875</v>
      </c>
      <c r="D1748">
        <v>5</v>
      </c>
      <c r="Q1748">
        <v>5</v>
      </c>
    </row>
    <row r="1749" spans="1:17" x14ac:dyDescent="0.25">
      <c r="A1749">
        <v>5</v>
      </c>
      <c r="D1749">
        <v>1</v>
      </c>
      <c r="Q1749">
        <v>5</v>
      </c>
    </row>
    <row r="1750" spans="1:17" x14ac:dyDescent="0.25">
      <c r="A1750">
        <v>1.75</v>
      </c>
      <c r="D1750">
        <v>5</v>
      </c>
      <c r="Q1750">
        <v>2.75</v>
      </c>
    </row>
    <row r="1751" spans="1:17" x14ac:dyDescent="0.25">
      <c r="A1751">
        <v>9.375</v>
      </c>
      <c r="D1751">
        <v>2</v>
      </c>
      <c r="Q1751">
        <v>3.25</v>
      </c>
    </row>
    <row r="1752" spans="1:17" x14ac:dyDescent="0.25">
      <c r="A1752">
        <v>7.5</v>
      </c>
      <c r="D1752">
        <v>5</v>
      </c>
      <c r="Q1752">
        <v>5</v>
      </c>
    </row>
    <row r="1753" spans="1:17" x14ac:dyDescent="0.25">
      <c r="A1753">
        <v>7.5</v>
      </c>
      <c r="D1753">
        <v>8.5</v>
      </c>
      <c r="Q1753">
        <v>3.75</v>
      </c>
    </row>
    <row r="1754" spans="1:17" x14ac:dyDescent="0.25">
      <c r="A1754">
        <v>9.75</v>
      </c>
      <c r="D1754">
        <v>5</v>
      </c>
      <c r="Q1754">
        <v>5</v>
      </c>
    </row>
    <row r="1755" spans="1:17" x14ac:dyDescent="0.25">
      <c r="A1755">
        <v>12</v>
      </c>
      <c r="D1755">
        <v>5</v>
      </c>
      <c r="Q1755">
        <v>5</v>
      </c>
    </row>
    <row r="1756" spans="1:17" x14ac:dyDescent="0.25">
      <c r="A1756">
        <v>4</v>
      </c>
      <c r="D1756">
        <v>5</v>
      </c>
      <c r="Q1756">
        <v>5</v>
      </c>
    </row>
    <row r="1757" spans="1:17" x14ac:dyDescent="0.25">
      <c r="A1757">
        <v>7.5</v>
      </c>
      <c r="D1757">
        <v>6</v>
      </c>
      <c r="Q1757">
        <v>1</v>
      </c>
    </row>
    <row r="1758" spans="1:17" x14ac:dyDescent="0.25">
      <c r="A1758">
        <v>5</v>
      </c>
      <c r="D1758">
        <v>4.75</v>
      </c>
      <c r="Q1758">
        <v>5</v>
      </c>
    </row>
    <row r="1759" spans="1:17" x14ac:dyDescent="0.25">
      <c r="A1759">
        <v>7.875</v>
      </c>
      <c r="D1759">
        <v>8.25</v>
      </c>
      <c r="Q1759">
        <v>5</v>
      </c>
    </row>
    <row r="1760" spans="1:17" x14ac:dyDescent="0.25">
      <c r="A1760">
        <v>0.75</v>
      </c>
      <c r="D1760">
        <v>5</v>
      </c>
      <c r="Q1760">
        <v>4</v>
      </c>
    </row>
    <row r="1761" spans="1:17" x14ac:dyDescent="0.25">
      <c r="A1761">
        <v>12</v>
      </c>
      <c r="D1761">
        <v>5</v>
      </c>
      <c r="Q1761">
        <v>6.5</v>
      </c>
    </row>
    <row r="1762" spans="1:17" x14ac:dyDescent="0.25">
      <c r="A1762">
        <v>4</v>
      </c>
      <c r="D1762">
        <v>1</v>
      </c>
      <c r="Q1762">
        <v>5</v>
      </c>
    </row>
    <row r="1763" spans="1:17" x14ac:dyDescent="0.25">
      <c r="A1763">
        <v>3</v>
      </c>
      <c r="D1763">
        <v>10</v>
      </c>
      <c r="Q1763">
        <v>2</v>
      </c>
    </row>
    <row r="1764" spans="1:17" x14ac:dyDescent="0.25">
      <c r="A1764">
        <v>2.25</v>
      </c>
      <c r="D1764">
        <v>5</v>
      </c>
      <c r="Q1764">
        <v>5</v>
      </c>
    </row>
    <row r="1765" spans="1:17" x14ac:dyDescent="0.25">
      <c r="A1765">
        <v>7.5</v>
      </c>
      <c r="D1765">
        <v>10</v>
      </c>
      <c r="Q1765">
        <v>4.5</v>
      </c>
    </row>
    <row r="1766" spans="1:17" x14ac:dyDescent="0.25">
      <c r="A1766">
        <v>0.75</v>
      </c>
      <c r="D1766">
        <v>2</v>
      </c>
      <c r="Q1766">
        <v>5</v>
      </c>
    </row>
    <row r="1767" spans="1:17" x14ac:dyDescent="0.25">
      <c r="A1767">
        <v>5.625</v>
      </c>
      <c r="D1767">
        <v>5</v>
      </c>
      <c r="Q1767">
        <v>5</v>
      </c>
    </row>
    <row r="1768" spans="1:17" x14ac:dyDescent="0.25">
      <c r="A1768">
        <v>1.875</v>
      </c>
      <c r="D1768">
        <v>5</v>
      </c>
      <c r="Q1768">
        <v>7.25</v>
      </c>
    </row>
    <row r="1769" spans="1:17" x14ac:dyDescent="0.25">
      <c r="A1769">
        <v>0.375</v>
      </c>
      <c r="D1769">
        <v>9.75</v>
      </c>
      <c r="Q1769">
        <v>5</v>
      </c>
    </row>
    <row r="1770" spans="1:17" x14ac:dyDescent="0.25">
      <c r="A1770">
        <v>0.75</v>
      </c>
      <c r="D1770">
        <v>5</v>
      </c>
      <c r="Q1770">
        <v>4.875</v>
      </c>
    </row>
    <row r="1771" spans="1:17" x14ac:dyDescent="0.25">
      <c r="A1771">
        <v>7.5</v>
      </c>
      <c r="D1771">
        <v>5</v>
      </c>
      <c r="Q1771">
        <v>3</v>
      </c>
    </row>
    <row r="1772" spans="1:17" x14ac:dyDescent="0.25">
      <c r="A1772">
        <v>7.875</v>
      </c>
      <c r="D1772">
        <v>5</v>
      </c>
      <c r="Q1772">
        <v>1</v>
      </c>
    </row>
    <row r="1773" spans="1:17" x14ac:dyDescent="0.25">
      <c r="A1773">
        <v>6.75</v>
      </c>
      <c r="D1773">
        <v>5.25</v>
      </c>
      <c r="Q1773">
        <v>5</v>
      </c>
    </row>
    <row r="1774" spans="1:17" x14ac:dyDescent="0.25">
      <c r="A1774">
        <v>7.5</v>
      </c>
      <c r="D1774">
        <v>5</v>
      </c>
      <c r="Q1774">
        <v>5.625</v>
      </c>
    </row>
    <row r="1775" spans="1:17" x14ac:dyDescent="0.25">
      <c r="A1775">
        <v>5.75</v>
      </c>
      <c r="D1775">
        <v>4</v>
      </c>
      <c r="Q1775">
        <v>5</v>
      </c>
    </row>
    <row r="1776" spans="1:17" x14ac:dyDescent="0.25">
      <c r="A1776">
        <v>5.625</v>
      </c>
      <c r="D1776">
        <v>5</v>
      </c>
      <c r="Q1776">
        <v>4.125</v>
      </c>
    </row>
    <row r="1777" spans="1:17" x14ac:dyDescent="0.25">
      <c r="A1777">
        <v>7.125</v>
      </c>
      <c r="D1777">
        <v>5</v>
      </c>
      <c r="Q1777">
        <v>3.75</v>
      </c>
    </row>
    <row r="1778" spans="1:17" x14ac:dyDescent="0.25">
      <c r="A1778">
        <v>7.5</v>
      </c>
      <c r="D1778">
        <v>5.25</v>
      </c>
      <c r="Q1778">
        <v>3</v>
      </c>
    </row>
    <row r="1779" spans="1:17" x14ac:dyDescent="0.25">
      <c r="A1779">
        <v>3.375</v>
      </c>
      <c r="D1779">
        <v>5</v>
      </c>
      <c r="Q1779">
        <v>5</v>
      </c>
    </row>
    <row r="1780" spans="1:17" x14ac:dyDescent="0.25">
      <c r="A1780">
        <v>3</v>
      </c>
      <c r="D1780">
        <v>1</v>
      </c>
      <c r="Q1780">
        <v>5</v>
      </c>
    </row>
    <row r="1781" spans="1:17" x14ac:dyDescent="0.25">
      <c r="A1781">
        <v>5</v>
      </c>
      <c r="D1781">
        <v>6.5</v>
      </c>
      <c r="Q1781">
        <v>2</v>
      </c>
    </row>
    <row r="1782" spans="1:17" x14ac:dyDescent="0.25">
      <c r="A1782">
        <v>3</v>
      </c>
      <c r="D1782">
        <v>3</v>
      </c>
      <c r="Q1782">
        <v>4</v>
      </c>
    </row>
    <row r="1783" spans="1:17" x14ac:dyDescent="0.25">
      <c r="A1783">
        <v>7.5</v>
      </c>
      <c r="D1783">
        <v>4</v>
      </c>
      <c r="Q1783">
        <v>3</v>
      </c>
    </row>
    <row r="1784" spans="1:17" x14ac:dyDescent="0.25">
      <c r="A1784">
        <v>5</v>
      </c>
      <c r="D1784">
        <v>4.5</v>
      </c>
      <c r="Q1784">
        <v>5</v>
      </c>
    </row>
    <row r="1785" spans="1:17" x14ac:dyDescent="0.25">
      <c r="A1785">
        <v>3</v>
      </c>
      <c r="D1785">
        <v>5</v>
      </c>
      <c r="Q1785">
        <v>5</v>
      </c>
    </row>
    <row r="1786" spans="1:17" x14ac:dyDescent="0.25">
      <c r="A1786">
        <v>7.5</v>
      </c>
      <c r="D1786">
        <v>5</v>
      </c>
      <c r="Q1786">
        <v>5</v>
      </c>
    </row>
    <row r="1787" spans="1:17" x14ac:dyDescent="0.25">
      <c r="A1787">
        <v>2.75</v>
      </c>
      <c r="D1787">
        <v>5.75</v>
      </c>
      <c r="Q1787">
        <v>5</v>
      </c>
    </row>
    <row r="1788" spans="1:17" x14ac:dyDescent="0.25">
      <c r="A1788">
        <v>1.5</v>
      </c>
      <c r="D1788">
        <v>3.75</v>
      </c>
      <c r="Q1788">
        <v>3.5</v>
      </c>
    </row>
    <row r="1789" spans="1:17" x14ac:dyDescent="0.25">
      <c r="A1789">
        <v>2.25</v>
      </c>
      <c r="D1789">
        <v>5</v>
      </c>
      <c r="Q1789">
        <v>5.5</v>
      </c>
    </row>
    <row r="1790" spans="1:17" x14ac:dyDescent="0.25">
      <c r="A1790">
        <v>0.75</v>
      </c>
      <c r="D1790">
        <v>7.75</v>
      </c>
      <c r="Q1790">
        <v>5</v>
      </c>
    </row>
    <row r="1791" spans="1:17" x14ac:dyDescent="0.25">
      <c r="A1791">
        <v>7.125</v>
      </c>
      <c r="D1791">
        <v>5</v>
      </c>
      <c r="Q1791">
        <v>6.5</v>
      </c>
    </row>
    <row r="1792" spans="1:17" x14ac:dyDescent="0.25">
      <c r="A1792">
        <v>5.625</v>
      </c>
      <c r="D1792">
        <v>10</v>
      </c>
      <c r="Q1792">
        <v>5</v>
      </c>
    </row>
    <row r="1793" spans="1:17" x14ac:dyDescent="0.25">
      <c r="A1793">
        <v>7.125</v>
      </c>
      <c r="D1793">
        <v>4.25</v>
      </c>
      <c r="Q1793">
        <v>4</v>
      </c>
    </row>
    <row r="1794" spans="1:17" x14ac:dyDescent="0.25">
      <c r="A1794">
        <v>5</v>
      </c>
      <c r="D1794">
        <v>5</v>
      </c>
      <c r="Q1794">
        <v>5</v>
      </c>
    </row>
    <row r="1795" spans="1:17" x14ac:dyDescent="0.25">
      <c r="A1795">
        <v>7.5</v>
      </c>
      <c r="D1795">
        <v>1.5</v>
      </c>
      <c r="Q1795">
        <v>6</v>
      </c>
    </row>
    <row r="1796" spans="1:17" x14ac:dyDescent="0.25">
      <c r="A1796">
        <v>9.75</v>
      </c>
      <c r="D1796">
        <v>5</v>
      </c>
      <c r="Q1796">
        <v>5</v>
      </c>
    </row>
    <row r="1797" spans="1:17" x14ac:dyDescent="0.25">
      <c r="A1797">
        <v>11.25</v>
      </c>
      <c r="D1797">
        <v>9</v>
      </c>
      <c r="Q1797">
        <v>4.75</v>
      </c>
    </row>
    <row r="1798" spans="1:17" x14ac:dyDescent="0.25">
      <c r="A1798">
        <v>7.5</v>
      </c>
      <c r="D1798">
        <v>2.5</v>
      </c>
      <c r="Q1798">
        <v>4.25</v>
      </c>
    </row>
    <row r="1799" spans="1:17" x14ac:dyDescent="0.25">
      <c r="A1799">
        <v>7.5</v>
      </c>
      <c r="D1799">
        <v>5</v>
      </c>
      <c r="Q1799">
        <v>5</v>
      </c>
    </row>
    <row r="1800" spans="1:17" x14ac:dyDescent="0.25">
      <c r="A1800">
        <v>3</v>
      </c>
      <c r="D1800">
        <v>5</v>
      </c>
      <c r="Q1800">
        <v>5</v>
      </c>
    </row>
    <row r="1801" spans="1:17" x14ac:dyDescent="0.25">
      <c r="A1801">
        <v>7.125</v>
      </c>
      <c r="D1801">
        <v>5</v>
      </c>
      <c r="Q1801">
        <v>3</v>
      </c>
    </row>
    <row r="1802" spans="1:17" x14ac:dyDescent="0.25">
      <c r="A1802">
        <v>6</v>
      </c>
      <c r="D1802">
        <v>5</v>
      </c>
      <c r="Q1802">
        <v>5</v>
      </c>
    </row>
    <row r="1803" spans="1:17" x14ac:dyDescent="0.25">
      <c r="A1803">
        <v>7.5</v>
      </c>
      <c r="D1803">
        <v>5</v>
      </c>
      <c r="Q1803">
        <v>5</v>
      </c>
    </row>
    <row r="1804" spans="1:17" x14ac:dyDescent="0.25">
      <c r="A1804">
        <v>7.5</v>
      </c>
      <c r="D1804">
        <v>6.5</v>
      </c>
      <c r="Q1804">
        <v>0.75</v>
      </c>
    </row>
    <row r="1805" spans="1:17" x14ac:dyDescent="0.25">
      <c r="A1805">
        <v>7.5</v>
      </c>
      <c r="D1805">
        <v>1.25</v>
      </c>
      <c r="Q1805">
        <v>10.125</v>
      </c>
    </row>
    <row r="1806" spans="1:17" x14ac:dyDescent="0.25">
      <c r="A1806">
        <v>7.875</v>
      </c>
      <c r="D1806">
        <v>5</v>
      </c>
      <c r="Q1806">
        <v>3.5</v>
      </c>
    </row>
    <row r="1807" spans="1:17" x14ac:dyDescent="0.25">
      <c r="A1807">
        <v>0.75</v>
      </c>
      <c r="D1807">
        <v>5</v>
      </c>
      <c r="Q1807">
        <v>3</v>
      </c>
    </row>
    <row r="1808" spans="1:17" x14ac:dyDescent="0.25">
      <c r="A1808">
        <v>12</v>
      </c>
      <c r="D1808">
        <v>1</v>
      </c>
      <c r="Q1808">
        <v>4.75</v>
      </c>
    </row>
    <row r="1809" spans="1:17" x14ac:dyDescent="0.25">
      <c r="A1809">
        <v>7.5</v>
      </c>
      <c r="D1809">
        <v>5</v>
      </c>
      <c r="Q1809">
        <v>5</v>
      </c>
    </row>
    <row r="1810" spans="1:17" x14ac:dyDescent="0.25">
      <c r="A1810">
        <v>7.875</v>
      </c>
      <c r="D1810">
        <v>5</v>
      </c>
      <c r="Q1810">
        <v>5</v>
      </c>
    </row>
    <row r="1811" spans="1:17" x14ac:dyDescent="0.25">
      <c r="A1811">
        <v>7.125</v>
      </c>
      <c r="D1811">
        <v>5.25</v>
      </c>
      <c r="Q1811">
        <v>5</v>
      </c>
    </row>
    <row r="1812" spans="1:17" x14ac:dyDescent="0.25">
      <c r="A1812">
        <v>11.25</v>
      </c>
      <c r="D1812">
        <v>7.5</v>
      </c>
      <c r="Q1812">
        <v>5</v>
      </c>
    </row>
    <row r="1813" spans="1:17" x14ac:dyDescent="0.25">
      <c r="A1813">
        <v>7.5</v>
      </c>
      <c r="D1813">
        <v>1.5</v>
      </c>
      <c r="Q1813">
        <v>5</v>
      </c>
    </row>
    <row r="1814" spans="1:17" x14ac:dyDescent="0.25">
      <c r="A1814">
        <v>7.5</v>
      </c>
      <c r="D1814">
        <v>4.5</v>
      </c>
      <c r="Q1814">
        <v>4</v>
      </c>
    </row>
    <row r="1815" spans="1:17" x14ac:dyDescent="0.25">
      <c r="A1815">
        <v>7.5</v>
      </c>
      <c r="D1815">
        <v>4.5</v>
      </c>
      <c r="Q1815">
        <v>5</v>
      </c>
    </row>
    <row r="1816" spans="1:17" x14ac:dyDescent="0.25">
      <c r="A1816">
        <v>12</v>
      </c>
      <c r="D1816">
        <v>5</v>
      </c>
      <c r="Q1816">
        <v>4</v>
      </c>
    </row>
    <row r="1817" spans="1:17" x14ac:dyDescent="0.25">
      <c r="A1817">
        <v>7.5</v>
      </c>
      <c r="D1817">
        <v>6</v>
      </c>
      <c r="Q1817">
        <v>5</v>
      </c>
    </row>
    <row r="1818" spans="1:17" x14ac:dyDescent="0.25">
      <c r="A1818">
        <v>7.5</v>
      </c>
      <c r="D1818">
        <v>5</v>
      </c>
      <c r="Q1818">
        <v>5</v>
      </c>
    </row>
    <row r="1819" spans="1:17" x14ac:dyDescent="0.25">
      <c r="A1819">
        <v>7.5</v>
      </c>
      <c r="D1819">
        <v>5</v>
      </c>
      <c r="Q1819">
        <v>6.5</v>
      </c>
    </row>
    <row r="1820" spans="1:17" x14ac:dyDescent="0.25">
      <c r="A1820">
        <v>7.875</v>
      </c>
      <c r="D1820">
        <v>6.375</v>
      </c>
      <c r="Q1820">
        <v>3</v>
      </c>
    </row>
    <row r="1821" spans="1:17" x14ac:dyDescent="0.25">
      <c r="A1821">
        <v>8.625</v>
      </c>
      <c r="D1821">
        <v>1.5</v>
      </c>
      <c r="Q1821">
        <v>5</v>
      </c>
    </row>
    <row r="1822" spans="1:17" x14ac:dyDescent="0.25">
      <c r="A1822">
        <v>12</v>
      </c>
      <c r="D1822">
        <v>5.25</v>
      </c>
      <c r="Q1822">
        <v>5</v>
      </c>
    </row>
    <row r="1823" spans="1:17" x14ac:dyDescent="0.25">
      <c r="A1823">
        <v>7.125</v>
      </c>
      <c r="D1823">
        <v>0.5</v>
      </c>
      <c r="Q1823">
        <v>5</v>
      </c>
    </row>
    <row r="1824" spans="1:17" x14ac:dyDescent="0.25">
      <c r="A1824">
        <v>7.5</v>
      </c>
      <c r="D1824">
        <v>1.5</v>
      </c>
      <c r="Q1824">
        <v>1.125</v>
      </c>
    </row>
    <row r="1825" spans="1:17" x14ac:dyDescent="0.25">
      <c r="A1825">
        <v>7.5</v>
      </c>
      <c r="D1825">
        <v>5</v>
      </c>
      <c r="Q1825">
        <v>5</v>
      </c>
    </row>
    <row r="1826" spans="1:17" x14ac:dyDescent="0.25">
      <c r="A1826">
        <v>12</v>
      </c>
      <c r="D1826">
        <v>7.5</v>
      </c>
      <c r="Q1826">
        <v>5</v>
      </c>
    </row>
    <row r="1827" spans="1:17" x14ac:dyDescent="0.25">
      <c r="A1827">
        <v>5.25</v>
      </c>
      <c r="D1827">
        <v>5</v>
      </c>
      <c r="Q1827">
        <v>5</v>
      </c>
    </row>
    <row r="1828" spans="1:17" x14ac:dyDescent="0.25">
      <c r="A1828">
        <v>9.75</v>
      </c>
      <c r="D1828">
        <v>4</v>
      </c>
      <c r="Q1828">
        <v>4.75</v>
      </c>
    </row>
    <row r="1829" spans="1:17" x14ac:dyDescent="0.25">
      <c r="A1829">
        <v>7.5</v>
      </c>
      <c r="D1829">
        <v>5</v>
      </c>
      <c r="Q1829">
        <v>0.375</v>
      </c>
    </row>
    <row r="1830" spans="1:17" x14ac:dyDescent="0.25">
      <c r="A1830">
        <v>7.5</v>
      </c>
      <c r="D1830">
        <v>5</v>
      </c>
      <c r="Q1830">
        <v>5</v>
      </c>
    </row>
    <row r="1831" spans="1:17" x14ac:dyDescent="0.25">
      <c r="A1831">
        <v>10.5</v>
      </c>
      <c r="D1831">
        <v>5</v>
      </c>
      <c r="Q1831">
        <v>5.25</v>
      </c>
    </row>
    <row r="1832" spans="1:17" x14ac:dyDescent="0.25">
      <c r="A1832">
        <v>7.5</v>
      </c>
      <c r="D1832">
        <v>5</v>
      </c>
      <c r="Q1832">
        <v>7.5</v>
      </c>
    </row>
    <row r="1833" spans="1:17" x14ac:dyDescent="0.25">
      <c r="A1833">
        <v>7.5</v>
      </c>
      <c r="D1833">
        <v>1.75</v>
      </c>
      <c r="Q1833">
        <v>7.125</v>
      </c>
    </row>
    <row r="1834" spans="1:17" x14ac:dyDescent="0.25">
      <c r="A1834">
        <v>7.875</v>
      </c>
      <c r="D1834">
        <v>6</v>
      </c>
      <c r="Q1834">
        <v>3.75</v>
      </c>
    </row>
    <row r="1835" spans="1:17" x14ac:dyDescent="0.25">
      <c r="A1835">
        <v>8.625</v>
      </c>
      <c r="D1835">
        <v>10</v>
      </c>
      <c r="Q1835">
        <v>7.5</v>
      </c>
    </row>
    <row r="1836" spans="1:17" x14ac:dyDescent="0.25">
      <c r="A1836">
        <v>8.25</v>
      </c>
      <c r="D1836">
        <v>3.5</v>
      </c>
      <c r="Q1836">
        <v>2.75</v>
      </c>
    </row>
    <row r="1837" spans="1:17" x14ac:dyDescent="0.25">
      <c r="A1837">
        <v>6</v>
      </c>
      <c r="D1837">
        <v>5</v>
      </c>
      <c r="Q1837">
        <v>6.375</v>
      </c>
    </row>
    <row r="1838" spans="1:17" x14ac:dyDescent="0.25">
      <c r="A1838">
        <v>7.5</v>
      </c>
      <c r="D1838">
        <v>5</v>
      </c>
      <c r="Q1838">
        <v>7.5</v>
      </c>
    </row>
    <row r="1839" spans="1:17" x14ac:dyDescent="0.25">
      <c r="A1839">
        <v>5</v>
      </c>
      <c r="D1839">
        <v>5</v>
      </c>
      <c r="Q1839">
        <v>1.5</v>
      </c>
    </row>
    <row r="1840" spans="1:17" x14ac:dyDescent="0.25">
      <c r="A1840">
        <v>6</v>
      </c>
      <c r="D1840">
        <v>4</v>
      </c>
      <c r="Q1840">
        <v>7.5</v>
      </c>
    </row>
    <row r="1841" spans="1:17" x14ac:dyDescent="0.25">
      <c r="A1841">
        <v>5</v>
      </c>
      <c r="D1841">
        <v>5</v>
      </c>
      <c r="Q1841">
        <v>3</v>
      </c>
    </row>
    <row r="1842" spans="1:17" x14ac:dyDescent="0.25">
      <c r="A1842">
        <v>7.5</v>
      </c>
      <c r="D1842">
        <v>5.25</v>
      </c>
      <c r="Q1842">
        <v>7.5</v>
      </c>
    </row>
    <row r="1843" spans="1:17" x14ac:dyDescent="0.25">
      <c r="A1843">
        <v>7.5</v>
      </c>
      <c r="D1843">
        <v>3.75</v>
      </c>
      <c r="Q1843">
        <v>7.5</v>
      </c>
    </row>
    <row r="1844" spans="1:17" x14ac:dyDescent="0.25">
      <c r="A1844">
        <v>7.5</v>
      </c>
      <c r="D1844">
        <v>5</v>
      </c>
      <c r="Q1844">
        <v>5</v>
      </c>
    </row>
    <row r="1845" spans="1:17" x14ac:dyDescent="0.25">
      <c r="A1845">
        <v>7.5</v>
      </c>
      <c r="D1845">
        <v>4.875</v>
      </c>
      <c r="Q1845">
        <v>5</v>
      </c>
    </row>
    <row r="1846" spans="1:17" x14ac:dyDescent="0.25">
      <c r="A1846">
        <v>3</v>
      </c>
      <c r="D1846">
        <v>0.75</v>
      </c>
      <c r="Q1846">
        <v>1.875</v>
      </c>
    </row>
    <row r="1847" spans="1:17" x14ac:dyDescent="0.25">
      <c r="A1847">
        <v>11.25</v>
      </c>
      <c r="D1847">
        <v>5</v>
      </c>
      <c r="Q1847">
        <v>2</v>
      </c>
    </row>
    <row r="1848" spans="1:17" x14ac:dyDescent="0.25">
      <c r="A1848">
        <v>10.875</v>
      </c>
      <c r="D1848">
        <v>5</v>
      </c>
      <c r="Q1848">
        <v>5</v>
      </c>
    </row>
    <row r="1849" spans="1:17" x14ac:dyDescent="0.25">
      <c r="A1849">
        <v>7.875</v>
      </c>
      <c r="D1849">
        <v>2</v>
      </c>
      <c r="Q1849">
        <v>5</v>
      </c>
    </row>
    <row r="1850" spans="1:17" x14ac:dyDescent="0.25">
      <c r="A1850">
        <v>7.5</v>
      </c>
      <c r="D1850">
        <v>0.375</v>
      </c>
      <c r="Q1850">
        <v>5</v>
      </c>
    </row>
    <row r="1851" spans="1:17" x14ac:dyDescent="0.25">
      <c r="A1851">
        <v>7.5</v>
      </c>
      <c r="D1851">
        <v>9</v>
      </c>
      <c r="Q1851">
        <v>5</v>
      </c>
    </row>
    <row r="1852" spans="1:17" x14ac:dyDescent="0.25">
      <c r="A1852">
        <v>10.125</v>
      </c>
      <c r="D1852">
        <v>0.75</v>
      </c>
      <c r="Q1852">
        <v>5</v>
      </c>
    </row>
    <row r="1853" spans="1:17" x14ac:dyDescent="0.25">
      <c r="A1853">
        <v>7.5</v>
      </c>
      <c r="D1853">
        <v>1.25</v>
      </c>
      <c r="Q1853">
        <v>5</v>
      </c>
    </row>
    <row r="1854" spans="1:17" x14ac:dyDescent="0.25">
      <c r="A1854">
        <v>6</v>
      </c>
      <c r="D1854">
        <v>5</v>
      </c>
      <c r="Q1854">
        <v>0.375</v>
      </c>
    </row>
    <row r="1855" spans="1:17" x14ac:dyDescent="0.25">
      <c r="A1855">
        <v>7.5</v>
      </c>
      <c r="D1855">
        <v>5</v>
      </c>
      <c r="Q1855">
        <v>3</v>
      </c>
    </row>
    <row r="1856" spans="1:17" x14ac:dyDescent="0.25">
      <c r="A1856">
        <v>9.75</v>
      </c>
      <c r="D1856">
        <v>1</v>
      </c>
      <c r="Q1856">
        <v>7.5</v>
      </c>
    </row>
    <row r="1857" spans="1:17" x14ac:dyDescent="0.25">
      <c r="A1857">
        <v>5</v>
      </c>
      <c r="D1857">
        <v>5</v>
      </c>
      <c r="Q1857">
        <v>5</v>
      </c>
    </row>
    <row r="1858" spans="1:17" x14ac:dyDescent="0.25">
      <c r="A1858">
        <v>10</v>
      </c>
      <c r="D1858">
        <v>3.25</v>
      </c>
      <c r="Q1858">
        <v>5</v>
      </c>
    </row>
    <row r="1859" spans="1:17" x14ac:dyDescent="0.25">
      <c r="A1859">
        <v>5</v>
      </c>
      <c r="D1859">
        <v>1.125</v>
      </c>
      <c r="Q1859">
        <v>7.5</v>
      </c>
    </row>
    <row r="1860" spans="1:17" x14ac:dyDescent="0.25">
      <c r="A1860">
        <v>5</v>
      </c>
      <c r="D1860">
        <v>4.75</v>
      </c>
      <c r="Q1860">
        <v>7.5</v>
      </c>
    </row>
    <row r="1861" spans="1:17" x14ac:dyDescent="0.25">
      <c r="A1861">
        <v>5</v>
      </c>
      <c r="D1861">
        <v>5</v>
      </c>
      <c r="Q1861">
        <v>8.25</v>
      </c>
    </row>
    <row r="1862" spans="1:17" x14ac:dyDescent="0.25">
      <c r="A1862">
        <v>5</v>
      </c>
      <c r="D1862">
        <v>1.5</v>
      </c>
      <c r="Q1862">
        <v>4</v>
      </c>
    </row>
    <row r="1863" spans="1:17" x14ac:dyDescent="0.25">
      <c r="A1863">
        <v>5</v>
      </c>
      <c r="D1863">
        <v>10</v>
      </c>
      <c r="Q1863">
        <v>8.625</v>
      </c>
    </row>
    <row r="1864" spans="1:17" x14ac:dyDescent="0.25">
      <c r="A1864">
        <v>5.5</v>
      </c>
      <c r="D1864">
        <v>5.25</v>
      </c>
      <c r="Q1864">
        <v>3.5</v>
      </c>
    </row>
    <row r="1865" spans="1:17" x14ac:dyDescent="0.25">
      <c r="A1865">
        <v>6.5</v>
      </c>
      <c r="D1865">
        <v>1.25</v>
      </c>
      <c r="Q1865">
        <v>1</v>
      </c>
    </row>
    <row r="1866" spans="1:17" x14ac:dyDescent="0.25">
      <c r="A1866">
        <v>5</v>
      </c>
      <c r="D1866">
        <v>1.5</v>
      </c>
      <c r="Q1866">
        <v>4</v>
      </c>
    </row>
    <row r="1867" spans="1:17" x14ac:dyDescent="0.25">
      <c r="A1867">
        <v>6.5</v>
      </c>
      <c r="D1867">
        <v>1.875</v>
      </c>
      <c r="Q1867">
        <v>3</v>
      </c>
    </row>
    <row r="1868" spans="1:17" x14ac:dyDescent="0.25">
      <c r="A1868">
        <v>10</v>
      </c>
      <c r="D1868">
        <v>5</v>
      </c>
      <c r="Q1868">
        <v>3.5</v>
      </c>
    </row>
    <row r="1869" spans="1:17" x14ac:dyDescent="0.25">
      <c r="A1869">
        <v>5</v>
      </c>
      <c r="D1869">
        <v>3</v>
      </c>
      <c r="Q1869">
        <v>5</v>
      </c>
    </row>
    <row r="1870" spans="1:17" x14ac:dyDescent="0.25">
      <c r="A1870">
        <v>5</v>
      </c>
      <c r="D1870">
        <v>1.25</v>
      </c>
      <c r="Q1870">
        <v>10.125</v>
      </c>
    </row>
    <row r="1871" spans="1:17" x14ac:dyDescent="0.25">
      <c r="A1871">
        <v>2</v>
      </c>
      <c r="D1871">
        <v>5</v>
      </c>
      <c r="Q1871">
        <v>5</v>
      </c>
    </row>
    <row r="1872" spans="1:17" x14ac:dyDescent="0.25">
      <c r="A1872">
        <v>5</v>
      </c>
      <c r="D1872">
        <v>5</v>
      </c>
      <c r="Q1872">
        <v>3</v>
      </c>
    </row>
    <row r="1873" spans="1:17" x14ac:dyDescent="0.25">
      <c r="A1873">
        <v>5</v>
      </c>
      <c r="D1873">
        <v>5</v>
      </c>
      <c r="Q1873">
        <v>5</v>
      </c>
    </row>
    <row r="1874" spans="1:17" x14ac:dyDescent="0.25">
      <c r="A1874">
        <v>3.75</v>
      </c>
      <c r="D1874">
        <v>5</v>
      </c>
      <c r="Q1874">
        <v>5</v>
      </c>
    </row>
    <row r="1875" spans="1:17" x14ac:dyDescent="0.25">
      <c r="A1875">
        <v>5</v>
      </c>
      <c r="D1875">
        <v>2.5</v>
      </c>
      <c r="Q1875">
        <v>1</v>
      </c>
    </row>
    <row r="1876" spans="1:17" x14ac:dyDescent="0.25">
      <c r="A1876">
        <v>5</v>
      </c>
      <c r="D1876">
        <v>5</v>
      </c>
      <c r="Q1876">
        <v>4</v>
      </c>
    </row>
    <row r="1877" spans="1:17" x14ac:dyDescent="0.25">
      <c r="A1877">
        <v>3.5</v>
      </c>
      <c r="D1877">
        <v>10</v>
      </c>
      <c r="Q1877">
        <v>3</v>
      </c>
    </row>
    <row r="1878" spans="1:17" x14ac:dyDescent="0.25">
      <c r="A1878">
        <v>5</v>
      </c>
      <c r="D1878">
        <v>5</v>
      </c>
      <c r="Q1878">
        <v>5</v>
      </c>
    </row>
    <row r="1879" spans="1:17" x14ac:dyDescent="0.25">
      <c r="A1879">
        <v>5</v>
      </c>
      <c r="D1879">
        <v>5</v>
      </c>
      <c r="Q1879">
        <v>4.25</v>
      </c>
    </row>
    <row r="1880" spans="1:17" x14ac:dyDescent="0.25">
      <c r="A1880">
        <v>2</v>
      </c>
      <c r="D1880">
        <v>5</v>
      </c>
      <c r="Q1880">
        <v>7.5</v>
      </c>
    </row>
    <row r="1881" spans="1:17" x14ac:dyDescent="0.25">
      <c r="A1881">
        <v>3.5</v>
      </c>
      <c r="D1881">
        <v>9.375</v>
      </c>
      <c r="Q1881">
        <v>7.5</v>
      </c>
    </row>
    <row r="1882" spans="1:17" x14ac:dyDescent="0.25">
      <c r="A1882">
        <v>5</v>
      </c>
      <c r="D1882">
        <v>5</v>
      </c>
      <c r="Q1882">
        <v>7.5</v>
      </c>
    </row>
    <row r="1883" spans="1:17" x14ac:dyDescent="0.25">
      <c r="A1883">
        <v>8</v>
      </c>
      <c r="D1883">
        <v>5</v>
      </c>
      <c r="Q1883">
        <v>5</v>
      </c>
    </row>
    <row r="1884" spans="1:17" x14ac:dyDescent="0.25">
      <c r="A1884">
        <v>4</v>
      </c>
      <c r="D1884">
        <v>10</v>
      </c>
      <c r="Q1884">
        <v>6</v>
      </c>
    </row>
    <row r="1885" spans="1:17" x14ac:dyDescent="0.25">
      <c r="A1885">
        <v>3</v>
      </c>
      <c r="D1885">
        <v>5</v>
      </c>
      <c r="Q1885">
        <v>7.5</v>
      </c>
    </row>
    <row r="1886" spans="1:17" x14ac:dyDescent="0.25">
      <c r="A1886">
        <v>1.25</v>
      </c>
      <c r="D1886">
        <v>5</v>
      </c>
      <c r="Q1886">
        <v>5</v>
      </c>
    </row>
    <row r="1887" spans="1:17" x14ac:dyDescent="0.25">
      <c r="A1887">
        <v>5</v>
      </c>
      <c r="D1887">
        <v>3.5</v>
      </c>
      <c r="Q1887">
        <v>7.125</v>
      </c>
    </row>
    <row r="1888" spans="1:17" x14ac:dyDescent="0.25">
      <c r="A1888">
        <v>1.25</v>
      </c>
      <c r="D1888">
        <v>1</v>
      </c>
      <c r="Q1888">
        <v>10.875</v>
      </c>
    </row>
    <row r="1889" spans="1:17" x14ac:dyDescent="0.25">
      <c r="A1889">
        <v>5</v>
      </c>
      <c r="D1889">
        <v>4.25</v>
      </c>
      <c r="Q1889">
        <v>7.5</v>
      </c>
    </row>
    <row r="1890" spans="1:17" x14ac:dyDescent="0.25">
      <c r="A1890">
        <v>5.25</v>
      </c>
      <c r="D1890">
        <v>3.375</v>
      </c>
      <c r="Q1890">
        <v>7.125</v>
      </c>
    </row>
    <row r="1891" spans="1:17" x14ac:dyDescent="0.25">
      <c r="A1891">
        <v>8.25</v>
      </c>
      <c r="D1891">
        <v>1.75</v>
      </c>
      <c r="Q1891">
        <v>7.5</v>
      </c>
    </row>
    <row r="1892" spans="1:17" x14ac:dyDescent="0.25">
      <c r="A1892">
        <v>5</v>
      </c>
      <c r="D1892">
        <v>5</v>
      </c>
      <c r="Q1892">
        <v>5</v>
      </c>
    </row>
    <row r="1893" spans="1:17" x14ac:dyDescent="0.25">
      <c r="A1893">
        <v>8.75</v>
      </c>
      <c r="D1893">
        <v>4.5</v>
      </c>
      <c r="Q1893">
        <v>1</v>
      </c>
    </row>
    <row r="1894" spans="1:17" x14ac:dyDescent="0.25">
      <c r="A1894">
        <v>1</v>
      </c>
      <c r="D1894">
        <v>5</v>
      </c>
      <c r="Q1894">
        <v>4.5</v>
      </c>
    </row>
    <row r="1895" spans="1:17" x14ac:dyDescent="0.25">
      <c r="A1895">
        <v>5</v>
      </c>
      <c r="D1895">
        <v>5</v>
      </c>
      <c r="Q1895">
        <v>4.5</v>
      </c>
    </row>
    <row r="1896" spans="1:17" x14ac:dyDescent="0.25">
      <c r="A1896">
        <v>5</v>
      </c>
      <c r="D1896">
        <v>4</v>
      </c>
      <c r="Q1896">
        <v>5</v>
      </c>
    </row>
    <row r="1897" spans="1:17" x14ac:dyDescent="0.25">
      <c r="A1897">
        <v>8.25</v>
      </c>
      <c r="D1897">
        <v>10</v>
      </c>
      <c r="Q1897">
        <v>5</v>
      </c>
    </row>
    <row r="1898" spans="1:17" x14ac:dyDescent="0.25">
      <c r="A1898">
        <v>5</v>
      </c>
      <c r="D1898">
        <v>1.5</v>
      </c>
      <c r="Q1898">
        <v>3</v>
      </c>
    </row>
    <row r="1899" spans="1:17" x14ac:dyDescent="0.25">
      <c r="A1899">
        <v>1.5</v>
      </c>
      <c r="D1899">
        <v>5</v>
      </c>
      <c r="Q1899">
        <v>7.5</v>
      </c>
    </row>
    <row r="1900" spans="1:17" x14ac:dyDescent="0.25">
      <c r="A1900">
        <v>5</v>
      </c>
      <c r="D1900">
        <v>5</v>
      </c>
      <c r="Q1900">
        <v>5</v>
      </c>
    </row>
    <row r="1901" spans="1:17" x14ac:dyDescent="0.25">
      <c r="A1901">
        <v>5</v>
      </c>
      <c r="D1901">
        <v>5.25</v>
      </c>
      <c r="Q1901">
        <v>1.5</v>
      </c>
    </row>
    <row r="1902" spans="1:17" x14ac:dyDescent="0.25">
      <c r="A1902">
        <v>5</v>
      </c>
      <c r="D1902">
        <v>1.5</v>
      </c>
      <c r="Q1902">
        <v>1.25</v>
      </c>
    </row>
    <row r="1903" spans="1:17" x14ac:dyDescent="0.25">
      <c r="A1903">
        <v>5</v>
      </c>
      <c r="D1903">
        <v>10</v>
      </c>
      <c r="Q1903">
        <v>5</v>
      </c>
    </row>
    <row r="1904" spans="1:17" x14ac:dyDescent="0.25">
      <c r="A1904">
        <v>3.25</v>
      </c>
      <c r="D1904">
        <v>5</v>
      </c>
      <c r="Q1904">
        <v>1.875</v>
      </c>
    </row>
    <row r="1905" spans="1:17" x14ac:dyDescent="0.25">
      <c r="A1905">
        <v>3</v>
      </c>
      <c r="D1905">
        <v>5</v>
      </c>
      <c r="Q1905">
        <v>5</v>
      </c>
    </row>
    <row r="1906" spans="1:17" x14ac:dyDescent="0.25">
      <c r="A1906">
        <v>5</v>
      </c>
      <c r="D1906">
        <v>5</v>
      </c>
      <c r="Q1906">
        <v>8.625</v>
      </c>
    </row>
    <row r="1907" spans="1:17" x14ac:dyDescent="0.25">
      <c r="A1907">
        <v>5.25</v>
      </c>
      <c r="D1907">
        <v>5</v>
      </c>
      <c r="Q1907">
        <v>5</v>
      </c>
    </row>
    <row r="1908" spans="1:17" x14ac:dyDescent="0.25">
      <c r="A1908">
        <v>3.5</v>
      </c>
      <c r="D1908">
        <v>5</v>
      </c>
      <c r="Q1908">
        <v>9</v>
      </c>
    </row>
    <row r="1909" spans="1:17" x14ac:dyDescent="0.25">
      <c r="A1909">
        <v>3.5</v>
      </c>
      <c r="D1909">
        <v>5</v>
      </c>
      <c r="Q1909">
        <v>7.875</v>
      </c>
    </row>
    <row r="1910" spans="1:17" x14ac:dyDescent="0.25">
      <c r="A1910">
        <v>3.25</v>
      </c>
      <c r="D1910">
        <v>0.75</v>
      </c>
      <c r="Q1910">
        <v>7.5</v>
      </c>
    </row>
    <row r="1911" spans="1:17" x14ac:dyDescent="0.25">
      <c r="A1911">
        <v>5</v>
      </c>
      <c r="D1911">
        <v>5</v>
      </c>
      <c r="Q1911">
        <v>7.5</v>
      </c>
    </row>
    <row r="1912" spans="1:17" x14ac:dyDescent="0.25">
      <c r="A1912">
        <v>5</v>
      </c>
      <c r="D1912">
        <v>7.5</v>
      </c>
      <c r="Q1912">
        <v>5</v>
      </c>
    </row>
    <row r="1913" spans="1:17" x14ac:dyDescent="0.25">
      <c r="A1913">
        <v>8.25</v>
      </c>
      <c r="D1913">
        <v>12.375</v>
      </c>
      <c r="Q1913">
        <v>6</v>
      </c>
    </row>
    <row r="1914" spans="1:17" x14ac:dyDescent="0.25">
      <c r="A1914">
        <v>5</v>
      </c>
      <c r="D1914">
        <v>6.75</v>
      </c>
      <c r="Q1914">
        <v>1.5</v>
      </c>
    </row>
    <row r="1915" spans="1:17" x14ac:dyDescent="0.25">
      <c r="A1915">
        <v>5</v>
      </c>
      <c r="D1915">
        <v>0.25</v>
      </c>
      <c r="Q1915">
        <v>1.875</v>
      </c>
    </row>
    <row r="1916" spans="1:17" x14ac:dyDescent="0.25">
      <c r="A1916">
        <v>10</v>
      </c>
      <c r="D1916">
        <v>3</v>
      </c>
      <c r="Q1916">
        <v>7.5</v>
      </c>
    </row>
    <row r="1917" spans="1:17" x14ac:dyDescent="0.25">
      <c r="A1917">
        <v>7.5</v>
      </c>
      <c r="D1917">
        <v>3.375</v>
      </c>
      <c r="Q1917">
        <v>7.5</v>
      </c>
    </row>
    <row r="1918" spans="1:17" x14ac:dyDescent="0.25">
      <c r="A1918">
        <v>9</v>
      </c>
      <c r="D1918">
        <v>1.75</v>
      </c>
      <c r="Q1918">
        <v>7.5</v>
      </c>
    </row>
    <row r="1919" spans="1:17" x14ac:dyDescent="0.25">
      <c r="A1919">
        <v>4</v>
      </c>
      <c r="D1919">
        <v>6.5</v>
      </c>
      <c r="Q1919">
        <v>7.875</v>
      </c>
    </row>
    <row r="1920" spans="1:17" x14ac:dyDescent="0.25">
      <c r="A1920">
        <v>5</v>
      </c>
      <c r="D1920">
        <v>10</v>
      </c>
      <c r="Q1920">
        <v>0.25</v>
      </c>
    </row>
    <row r="1921" spans="1:17" x14ac:dyDescent="0.25">
      <c r="A1921">
        <v>4.5</v>
      </c>
      <c r="D1921">
        <v>7.5</v>
      </c>
      <c r="Q1921">
        <v>7.5</v>
      </c>
    </row>
    <row r="1922" spans="1:17" x14ac:dyDescent="0.25">
      <c r="A1922">
        <v>3.5</v>
      </c>
      <c r="D1922">
        <v>7.5</v>
      </c>
      <c r="Q1922">
        <v>7.5</v>
      </c>
    </row>
    <row r="1923" spans="1:17" x14ac:dyDescent="0.25">
      <c r="A1923">
        <v>5</v>
      </c>
      <c r="D1923">
        <v>6</v>
      </c>
      <c r="Q1923">
        <v>7.5</v>
      </c>
    </row>
    <row r="1924" spans="1:17" x14ac:dyDescent="0.25">
      <c r="A1924">
        <v>1.25</v>
      </c>
      <c r="D1924">
        <v>7.125</v>
      </c>
      <c r="Q1924">
        <v>5</v>
      </c>
    </row>
    <row r="1925" spans="1:17" x14ac:dyDescent="0.25">
      <c r="A1925">
        <v>5</v>
      </c>
      <c r="D1925">
        <v>10.5</v>
      </c>
      <c r="Q1925">
        <v>5</v>
      </c>
    </row>
    <row r="1926" spans="1:17" x14ac:dyDescent="0.25">
      <c r="A1926">
        <v>5</v>
      </c>
      <c r="D1926">
        <v>7.5</v>
      </c>
      <c r="Q1926">
        <v>3</v>
      </c>
    </row>
    <row r="1927" spans="1:17" x14ac:dyDescent="0.25">
      <c r="A1927">
        <v>5</v>
      </c>
      <c r="D1927">
        <v>2.25</v>
      </c>
      <c r="Q1927">
        <v>7.5</v>
      </c>
    </row>
    <row r="1928" spans="1:17" x14ac:dyDescent="0.25">
      <c r="A1928">
        <v>5</v>
      </c>
      <c r="D1928">
        <v>1.25</v>
      </c>
      <c r="Q1928">
        <v>8.25</v>
      </c>
    </row>
    <row r="1929" spans="1:17" x14ac:dyDescent="0.25">
      <c r="A1929">
        <v>7.75</v>
      </c>
      <c r="D1929">
        <v>5</v>
      </c>
      <c r="Q1929">
        <v>3</v>
      </c>
    </row>
    <row r="1930" spans="1:17" x14ac:dyDescent="0.25">
      <c r="A1930">
        <v>5.5</v>
      </c>
      <c r="D1930">
        <v>0.25</v>
      </c>
      <c r="Q1930">
        <v>5</v>
      </c>
    </row>
    <row r="1931" spans="1:17" x14ac:dyDescent="0.25">
      <c r="A1931">
        <v>5</v>
      </c>
      <c r="D1931">
        <v>3</v>
      </c>
      <c r="Q1931">
        <v>1.5</v>
      </c>
    </row>
    <row r="1932" spans="1:17" x14ac:dyDescent="0.25">
      <c r="A1932">
        <v>5</v>
      </c>
      <c r="D1932">
        <v>1</v>
      </c>
      <c r="Q1932">
        <v>5</v>
      </c>
    </row>
    <row r="1933" spans="1:17" x14ac:dyDescent="0.25">
      <c r="A1933">
        <v>8.25</v>
      </c>
      <c r="D1933">
        <v>7.5</v>
      </c>
      <c r="Q1933">
        <v>5</v>
      </c>
    </row>
    <row r="1934" spans="1:17" x14ac:dyDescent="0.25">
      <c r="A1934">
        <v>5</v>
      </c>
      <c r="D1934">
        <v>4.875</v>
      </c>
      <c r="Q1934">
        <v>5</v>
      </c>
    </row>
    <row r="1935" spans="1:17" x14ac:dyDescent="0.25">
      <c r="A1935">
        <v>5</v>
      </c>
      <c r="D1935">
        <v>1</v>
      </c>
      <c r="Q1935">
        <v>0.75</v>
      </c>
    </row>
    <row r="1936" spans="1:17" x14ac:dyDescent="0.25">
      <c r="A1936">
        <v>2.25</v>
      </c>
      <c r="D1936">
        <v>7.5</v>
      </c>
      <c r="Q1936">
        <v>5</v>
      </c>
    </row>
    <row r="1937" spans="1:17" x14ac:dyDescent="0.25">
      <c r="A1937">
        <v>5.5</v>
      </c>
      <c r="D1937">
        <v>3.75</v>
      </c>
      <c r="Q1937">
        <v>7.5</v>
      </c>
    </row>
    <row r="1938" spans="1:17" x14ac:dyDescent="0.25">
      <c r="A1938">
        <v>5</v>
      </c>
      <c r="D1938">
        <v>4.125</v>
      </c>
      <c r="Q1938">
        <v>7.5</v>
      </c>
    </row>
    <row r="1939" spans="1:17" x14ac:dyDescent="0.25">
      <c r="A1939">
        <v>3</v>
      </c>
      <c r="D1939">
        <v>5.25</v>
      </c>
      <c r="Q1939">
        <v>8.25</v>
      </c>
    </row>
    <row r="1940" spans="1:17" x14ac:dyDescent="0.25">
      <c r="A1940">
        <v>6</v>
      </c>
      <c r="D1940">
        <v>4.125</v>
      </c>
      <c r="Q1940">
        <v>10.875</v>
      </c>
    </row>
    <row r="1941" spans="1:17" x14ac:dyDescent="0.25">
      <c r="A1941">
        <v>6.75</v>
      </c>
      <c r="D1941">
        <v>4.125</v>
      </c>
      <c r="Q1941">
        <v>1.125</v>
      </c>
    </row>
    <row r="1942" spans="1:17" x14ac:dyDescent="0.25">
      <c r="A1942">
        <v>5</v>
      </c>
      <c r="D1942">
        <v>7.5</v>
      </c>
      <c r="Q1942">
        <v>6</v>
      </c>
    </row>
    <row r="1943" spans="1:17" x14ac:dyDescent="0.25">
      <c r="A1943">
        <v>5</v>
      </c>
      <c r="D1943">
        <v>14.25</v>
      </c>
      <c r="Q1943">
        <v>5</v>
      </c>
    </row>
    <row r="1944" spans="1:17" x14ac:dyDescent="0.25">
      <c r="A1944">
        <v>7</v>
      </c>
      <c r="D1944">
        <v>12.25</v>
      </c>
      <c r="Q1944">
        <v>2.75</v>
      </c>
    </row>
    <row r="1945" spans="1:17" x14ac:dyDescent="0.25">
      <c r="A1945">
        <v>5</v>
      </c>
      <c r="D1945">
        <v>7.5</v>
      </c>
      <c r="Q1945">
        <v>7.5</v>
      </c>
    </row>
    <row r="1946" spans="1:17" x14ac:dyDescent="0.25">
      <c r="A1946">
        <v>5</v>
      </c>
      <c r="D1946">
        <v>20.25</v>
      </c>
      <c r="Q1946">
        <v>7.5</v>
      </c>
    </row>
    <row r="1947" spans="1:17" x14ac:dyDescent="0.25">
      <c r="A1947">
        <v>4</v>
      </c>
      <c r="D1947">
        <v>6.75</v>
      </c>
      <c r="Q1947">
        <v>7.5</v>
      </c>
    </row>
    <row r="1948" spans="1:17" x14ac:dyDescent="0.25">
      <c r="A1948">
        <v>5</v>
      </c>
      <c r="D1948">
        <v>7.5</v>
      </c>
      <c r="Q1948">
        <v>3.375</v>
      </c>
    </row>
    <row r="1949" spans="1:17" x14ac:dyDescent="0.25">
      <c r="A1949">
        <v>5</v>
      </c>
      <c r="D1949">
        <v>15</v>
      </c>
      <c r="Q1949">
        <v>5</v>
      </c>
    </row>
    <row r="1950" spans="1:17" x14ac:dyDescent="0.25">
      <c r="A1950">
        <v>5</v>
      </c>
      <c r="D1950">
        <v>9.75</v>
      </c>
      <c r="Q1950">
        <v>3.75</v>
      </c>
    </row>
    <row r="1951" spans="1:17" x14ac:dyDescent="0.25">
      <c r="A1951">
        <v>5</v>
      </c>
      <c r="D1951">
        <v>1.5</v>
      </c>
      <c r="Q1951">
        <v>5</v>
      </c>
    </row>
    <row r="1952" spans="1:17" x14ac:dyDescent="0.25">
      <c r="A1952">
        <v>5.5</v>
      </c>
      <c r="D1952">
        <v>5.625</v>
      </c>
      <c r="Q1952">
        <v>5</v>
      </c>
    </row>
    <row r="1953" spans="1:17" x14ac:dyDescent="0.25">
      <c r="A1953">
        <v>5</v>
      </c>
      <c r="D1953">
        <v>0.375</v>
      </c>
      <c r="Q1953">
        <v>5</v>
      </c>
    </row>
    <row r="1954" spans="1:17" x14ac:dyDescent="0.25">
      <c r="A1954">
        <v>5</v>
      </c>
      <c r="D1954">
        <v>0.75</v>
      </c>
      <c r="Q1954">
        <v>2.625</v>
      </c>
    </row>
    <row r="1955" spans="1:17" x14ac:dyDescent="0.25">
      <c r="A1955">
        <v>5</v>
      </c>
      <c r="D1955">
        <v>9.375</v>
      </c>
      <c r="Q1955">
        <v>5</v>
      </c>
    </row>
    <row r="1956" spans="1:17" x14ac:dyDescent="0.25">
      <c r="A1956">
        <v>1.25</v>
      </c>
      <c r="D1956">
        <v>5</v>
      </c>
      <c r="Q1956">
        <v>5</v>
      </c>
    </row>
    <row r="1957" spans="1:17" x14ac:dyDescent="0.25">
      <c r="A1957">
        <v>5</v>
      </c>
      <c r="D1957">
        <v>7.5</v>
      </c>
      <c r="Q1957">
        <v>5</v>
      </c>
    </row>
    <row r="1958" spans="1:17" x14ac:dyDescent="0.25">
      <c r="A1958">
        <v>10</v>
      </c>
      <c r="D1958">
        <v>4.25</v>
      </c>
      <c r="Q1958">
        <v>3.75</v>
      </c>
    </row>
    <row r="1959" spans="1:17" x14ac:dyDescent="0.25">
      <c r="A1959">
        <v>3</v>
      </c>
      <c r="D1959">
        <v>10.5</v>
      </c>
      <c r="Q1959">
        <v>4.5</v>
      </c>
    </row>
    <row r="1960" spans="1:17" x14ac:dyDescent="0.25">
      <c r="A1960">
        <v>10</v>
      </c>
      <c r="D1960">
        <v>7.5</v>
      </c>
      <c r="Q1960">
        <v>7.5</v>
      </c>
    </row>
    <row r="1961" spans="1:17" x14ac:dyDescent="0.25">
      <c r="A1961">
        <v>5</v>
      </c>
      <c r="D1961">
        <v>6</v>
      </c>
      <c r="Q1961">
        <v>6.75</v>
      </c>
    </row>
    <row r="1962" spans="1:17" x14ac:dyDescent="0.25">
      <c r="A1962">
        <v>4.25</v>
      </c>
      <c r="D1962">
        <v>0.75</v>
      </c>
      <c r="Q1962">
        <v>0.5</v>
      </c>
    </row>
    <row r="1963" spans="1:17" x14ac:dyDescent="0.25">
      <c r="A1963">
        <v>5</v>
      </c>
      <c r="D1963">
        <v>4.75</v>
      </c>
      <c r="Q1963">
        <v>7.5</v>
      </c>
    </row>
    <row r="1964" spans="1:17" x14ac:dyDescent="0.25">
      <c r="A1964">
        <v>5</v>
      </c>
      <c r="D1964">
        <v>7.125</v>
      </c>
      <c r="Q1964">
        <v>7.5</v>
      </c>
    </row>
    <row r="1965" spans="1:17" x14ac:dyDescent="0.25">
      <c r="A1965">
        <v>5.5</v>
      </c>
      <c r="D1965">
        <v>0.25</v>
      </c>
      <c r="Q1965">
        <v>7.5</v>
      </c>
    </row>
    <row r="1966" spans="1:17" x14ac:dyDescent="0.25">
      <c r="A1966">
        <v>5</v>
      </c>
      <c r="D1966">
        <v>7.5</v>
      </c>
      <c r="Q1966">
        <v>9.75</v>
      </c>
    </row>
    <row r="1967" spans="1:17" x14ac:dyDescent="0.25">
      <c r="A1967">
        <v>4</v>
      </c>
      <c r="D1967">
        <v>11.625</v>
      </c>
      <c r="Q1967">
        <v>7.5</v>
      </c>
    </row>
    <row r="1968" spans="1:17" x14ac:dyDescent="0.25">
      <c r="A1968">
        <v>1</v>
      </c>
      <c r="D1968">
        <v>5</v>
      </c>
      <c r="Q1968">
        <v>10.5</v>
      </c>
    </row>
    <row r="1969" spans="1:17" x14ac:dyDescent="0.25">
      <c r="A1969">
        <v>5</v>
      </c>
      <c r="D1969">
        <v>0.5</v>
      </c>
      <c r="Q1969">
        <v>7.5</v>
      </c>
    </row>
    <row r="1970" spans="1:17" x14ac:dyDescent="0.25">
      <c r="A1970">
        <v>5</v>
      </c>
      <c r="D1970">
        <v>7.5</v>
      </c>
      <c r="Q1970">
        <v>7.5</v>
      </c>
    </row>
    <row r="1971" spans="1:17" x14ac:dyDescent="0.25">
      <c r="A1971">
        <v>5</v>
      </c>
      <c r="D1971">
        <v>5</v>
      </c>
      <c r="Q1971">
        <v>5.5</v>
      </c>
    </row>
    <row r="1972" spans="1:17" x14ac:dyDescent="0.25">
      <c r="A1972">
        <v>5.25</v>
      </c>
      <c r="D1972">
        <v>7.5</v>
      </c>
      <c r="Q1972">
        <v>6.375</v>
      </c>
    </row>
    <row r="1973" spans="1:17" x14ac:dyDescent="0.25">
      <c r="A1973">
        <v>5</v>
      </c>
      <c r="D1973">
        <v>7.5</v>
      </c>
      <c r="Q1973">
        <v>3.375</v>
      </c>
    </row>
    <row r="1974" spans="1:17" x14ac:dyDescent="0.25">
      <c r="A1974">
        <v>5</v>
      </c>
      <c r="D1974">
        <v>3.75</v>
      </c>
      <c r="Q1974">
        <v>5</v>
      </c>
    </row>
    <row r="1975" spans="1:17" x14ac:dyDescent="0.25">
      <c r="A1975">
        <v>5</v>
      </c>
      <c r="D1975">
        <v>7.5</v>
      </c>
      <c r="Q1975">
        <v>1.125</v>
      </c>
    </row>
    <row r="1976" spans="1:17" x14ac:dyDescent="0.25">
      <c r="A1976">
        <v>6.5</v>
      </c>
      <c r="D1976">
        <v>6.75</v>
      </c>
      <c r="Q1976">
        <v>5</v>
      </c>
    </row>
    <row r="1977" spans="1:17" x14ac:dyDescent="0.25">
      <c r="A1977">
        <v>9</v>
      </c>
      <c r="D1977">
        <v>4.25</v>
      </c>
      <c r="Q1977">
        <v>5</v>
      </c>
    </row>
    <row r="1978" spans="1:17" x14ac:dyDescent="0.25">
      <c r="A1978">
        <v>5</v>
      </c>
      <c r="D1978">
        <v>7.5</v>
      </c>
      <c r="Q1978">
        <v>5</v>
      </c>
    </row>
    <row r="1979" spans="1:17" x14ac:dyDescent="0.25">
      <c r="A1979">
        <v>5</v>
      </c>
      <c r="D1979">
        <v>1</v>
      </c>
      <c r="Q1979">
        <v>3.75</v>
      </c>
    </row>
    <row r="1980" spans="1:17" x14ac:dyDescent="0.25">
      <c r="A1980">
        <v>4</v>
      </c>
      <c r="D1980">
        <v>2.5</v>
      </c>
      <c r="Q1980">
        <v>5</v>
      </c>
    </row>
    <row r="1981" spans="1:17" x14ac:dyDescent="0.25">
      <c r="A1981">
        <v>1.25</v>
      </c>
      <c r="D1981">
        <v>4.75</v>
      </c>
      <c r="Q1981">
        <v>5</v>
      </c>
    </row>
    <row r="1982" spans="1:17" x14ac:dyDescent="0.25">
      <c r="A1982">
        <v>3.5</v>
      </c>
      <c r="D1982">
        <v>7</v>
      </c>
      <c r="Q1982">
        <v>2.25</v>
      </c>
    </row>
    <row r="1983" spans="1:17" x14ac:dyDescent="0.25">
      <c r="A1983">
        <v>5</v>
      </c>
      <c r="D1983">
        <v>2.25</v>
      </c>
      <c r="Q1983">
        <v>5</v>
      </c>
    </row>
    <row r="1984" spans="1:17" x14ac:dyDescent="0.25">
      <c r="A1984">
        <v>2.25</v>
      </c>
      <c r="D1984">
        <v>4.5</v>
      </c>
      <c r="Q1984">
        <v>5</v>
      </c>
    </row>
    <row r="1985" spans="1:17" x14ac:dyDescent="0.25">
      <c r="A1985">
        <v>5</v>
      </c>
      <c r="D1985">
        <v>5</v>
      </c>
      <c r="Q1985">
        <v>10.125</v>
      </c>
    </row>
    <row r="1986" spans="1:17" x14ac:dyDescent="0.25">
      <c r="A1986">
        <v>3.5</v>
      </c>
      <c r="D1986">
        <v>5</v>
      </c>
      <c r="Q1986">
        <v>2.5</v>
      </c>
    </row>
    <row r="1987" spans="1:17" x14ac:dyDescent="0.25">
      <c r="A1987">
        <v>3</v>
      </c>
      <c r="D1987">
        <v>4.75</v>
      </c>
      <c r="Q1987">
        <v>2.625</v>
      </c>
    </row>
    <row r="1988" spans="1:17" x14ac:dyDescent="0.25">
      <c r="A1988">
        <v>5</v>
      </c>
      <c r="D1988">
        <v>5</v>
      </c>
      <c r="Q1988">
        <v>1.5</v>
      </c>
    </row>
    <row r="1989" spans="1:17" x14ac:dyDescent="0.25">
      <c r="A1989">
        <v>1.25</v>
      </c>
      <c r="D1989">
        <v>3</v>
      </c>
      <c r="Q1989">
        <v>5</v>
      </c>
    </row>
    <row r="1990" spans="1:17" x14ac:dyDescent="0.25">
      <c r="A1990">
        <v>5</v>
      </c>
      <c r="D1990">
        <v>5</v>
      </c>
      <c r="Q1990">
        <v>1.5</v>
      </c>
    </row>
    <row r="1991" spans="1:17" x14ac:dyDescent="0.25">
      <c r="A1991">
        <v>6.5</v>
      </c>
      <c r="D1991">
        <v>4</v>
      </c>
      <c r="Q1991">
        <v>5</v>
      </c>
    </row>
    <row r="1992" spans="1:17" x14ac:dyDescent="0.25">
      <c r="A1992">
        <v>5</v>
      </c>
      <c r="D1992">
        <v>5</v>
      </c>
      <c r="Q1992">
        <v>5</v>
      </c>
    </row>
    <row r="1993" spans="1:17" x14ac:dyDescent="0.25">
      <c r="A1993">
        <v>3</v>
      </c>
      <c r="D1993">
        <v>7.25</v>
      </c>
      <c r="Q1993">
        <v>5</v>
      </c>
    </row>
    <row r="1994" spans="1:17" x14ac:dyDescent="0.25">
      <c r="A1994">
        <v>10</v>
      </c>
      <c r="D1994">
        <v>5</v>
      </c>
      <c r="Q1994">
        <v>5</v>
      </c>
    </row>
    <row r="1995" spans="1:17" x14ac:dyDescent="0.25">
      <c r="A1995">
        <v>5</v>
      </c>
      <c r="D1995">
        <v>5</v>
      </c>
      <c r="Q1995">
        <v>5</v>
      </c>
    </row>
    <row r="1996" spans="1:17" x14ac:dyDescent="0.25">
      <c r="A1996">
        <v>5</v>
      </c>
      <c r="D1996">
        <v>7.25</v>
      </c>
      <c r="Q1996">
        <v>4.875</v>
      </c>
    </row>
    <row r="1997" spans="1:17" x14ac:dyDescent="0.25">
      <c r="A1997">
        <v>5</v>
      </c>
      <c r="D1997">
        <v>9</v>
      </c>
      <c r="Q1997">
        <v>1.75</v>
      </c>
    </row>
    <row r="1998" spans="1:17" x14ac:dyDescent="0.25">
      <c r="A1998">
        <v>8</v>
      </c>
      <c r="D1998">
        <v>5</v>
      </c>
      <c r="Q1998">
        <v>5</v>
      </c>
    </row>
    <row r="1999" spans="1:17" x14ac:dyDescent="0.25">
      <c r="A1999">
        <v>5.75</v>
      </c>
      <c r="D1999">
        <v>5</v>
      </c>
      <c r="Q1999">
        <v>5</v>
      </c>
    </row>
    <row r="2000" spans="1:17" x14ac:dyDescent="0.25">
      <c r="A2000">
        <v>5</v>
      </c>
      <c r="D2000">
        <v>7</v>
      </c>
      <c r="Q2000">
        <v>5</v>
      </c>
    </row>
    <row r="2001" spans="1:17" x14ac:dyDescent="0.25">
      <c r="A2001">
        <v>9</v>
      </c>
      <c r="D2001">
        <v>5</v>
      </c>
      <c r="Q2001">
        <v>7</v>
      </c>
    </row>
    <row r="2002" spans="1:17" x14ac:dyDescent="0.25">
      <c r="A2002">
        <v>1</v>
      </c>
      <c r="D2002">
        <v>5.25</v>
      </c>
      <c r="Q2002">
        <v>5.25</v>
      </c>
    </row>
    <row r="2003" spans="1:17" x14ac:dyDescent="0.25">
      <c r="A2003">
        <v>4</v>
      </c>
      <c r="D2003">
        <v>2.25</v>
      </c>
      <c r="Q2003">
        <v>3.75</v>
      </c>
    </row>
    <row r="2004" spans="1:17" x14ac:dyDescent="0.25">
      <c r="A2004">
        <v>6.5</v>
      </c>
      <c r="D2004">
        <v>1</v>
      </c>
      <c r="Q2004">
        <v>1.25</v>
      </c>
    </row>
    <row r="2005" spans="1:17" x14ac:dyDescent="0.25">
      <c r="A2005">
        <v>5</v>
      </c>
      <c r="D2005">
        <v>5</v>
      </c>
      <c r="Q2005">
        <v>3</v>
      </c>
    </row>
    <row r="2006" spans="1:17" x14ac:dyDescent="0.25">
      <c r="A2006">
        <v>4</v>
      </c>
      <c r="D2006">
        <v>2.25</v>
      </c>
      <c r="Q2006">
        <v>5</v>
      </c>
    </row>
    <row r="2007" spans="1:17" x14ac:dyDescent="0.25">
      <c r="A2007">
        <v>5</v>
      </c>
      <c r="D2007">
        <v>2.25</v>
      </c>
      <c r="Q2007">
        <v>5.5</v>
      </c>
    </row>
    <row r="2008" spans="1:17" x14ac:dyDescent="0.25">
      <c r="A2008">
        <v>10.25</v>
      </c>
      <c r="D2008">
        <v>5</v>
      </c>
      <c r="Q2008">
        <v>3</v>
      </c>
    </row>
    <row r="2009" spans="1:17" x14ac:dyDescent="0.25">
      <c r="A2009">
        <v>4</v>
      </c>
      <c r="D2009">
        <v>5</v>
      </c>
      <c r="Q2009">
        <v>2.5</v>
      </c>
    </row>
    <row r="2010" spans="1:17" x14ac:dyDescent="0.25">
      <c r="A2010">
        <v>3.5</v>
      </c>
      <c r="D2010">
        <v>5</v>
      </c>
      <c r="Q2010">
        <v>5</v>
      </c>
    </row>
    <row r="2011" spans="1:17" x14ac:dyDescent="0.25">
      <c r="A2011">
        <v>9.25</v>
      </c>
      <c r="D2011">
        <v>5</v>
      </c>
      <c r="Q2011">
        <v>5</v>
      </c>
    </row>
    <row r="2012" spans="1:17" x14ac:dyDescent="0.25">
      <c r="A2012">
        <v>5</v>
      </c>
      <c r="D2012">
        <v>5</v>
      </c>
      <c r="Q2012">
        <v>5</v>
      </c>
    </row>
    <row r="2013" spans="1:17" x14ac:dyDescent="0.25">
      <c r="A2013">
        <v>10</v>
      </c>
      <c r="D2013">
        <v>4</v>
      </c>
      <c r="Q2013">
        <v>3</v>
      </c>
    </row>
    <row r="2014" spans="1:17" x14ac:dyDescent="0.25">
      <c r="A2014">
        <v>5</v>
      </c>
      <c r="D2014">
        <v>1.75</v>
      </c>
      <c r="Q2014">
        <v>7</v>
      </c>
    </row>
    <row r="2015" spans="1:17" x14ac:dyDescent="0.25">
      <c r="A2015">
        <v>2.5</v>
      </c>
      <c r="D2015">
        <v>10</v>
      </c>
      <c r="Q2015">
        <v>3.5</v>
      </c>
    </row>
    <row r="2016" spans="1:17" x14ac:dyDescent="0.25">
      <c r="A2016">
        <v>13.25</v>
      </c>
      <c r="D2016">
        <v>5</v>
      </c>
      <c r="Q2016">
        <v>0.5</v>
      </c>
    </row>
    <row r="2017" spans="1:17" x14ac:dyDescent="0.25">
      <c r="A2017">
        <v>6.75</v>
      </c>
      <c r="D2017">
        <v>5</v>
      </c>
      <c r="Q2017">
        <v>5</v>
      </c>
    </row>
    <row r="2018" spans="1:17" x14ac:dyDescent="0.25">
      <c r="A2018">
        <v>5</v>
      </c>
      <c r="D2018">
        <v>4.25</v>
      </c>
      <c r="Q2018">
        <v>3</v>
      </c>
    </row>
    <row r="2019" spans="1:17" x14ac:dyDescent="0.25">
      <c r="A2019">
        <v>2</v>
      </c>
      <c r="D2019">
        <v>5</v>
      </c>
      <c r="Q2019">
        <v>2.75</v>
      </c>
    </row>
    <row r="2020" spans="1:17" x14ac:dyDescent="0.25">
      <c r="A2020">
        <v>5</v>
      </c>
      <c r="D2020">
        <v>5</v>
      </c>
      <c r="Q2020">
        <v>5</v>
      </c>
    </row>
    <row r="2021" spans="1:17" x14ac:dyDescent="0.25">
      <c r="A2021">
        <v>10</v>
      </c>
      <c r="D2021">
        <v>4.125</v>
      </c>
      <c r="Q2021">
        <v>3</v>
      </c>
    </row>
    <row r="2022" spans="1:17" x14ac:dyDescent="0.25">
      <c r="A2022">
        <v>5</v>
      </c>
      <c r="D2022">
        <v>4.5</v>
      </c>
      <c r="Q2022">
        <v>7</v>
      </c>
    </row>
    <row r="2023" spans="1:17" x14ac:dyDescent="0.25">
      <c r="A2023">
        <v>5</v>
      </c>
      <c r="D2023">
        <v>5</v>
      </c>
      <c r="Q2023">
        <v>5</v>
      </c>
    </row>
    <row r="2024" spans="1:17" x14ac:dyDescent="0.25">
      <c r="A2024">
        <v>4</v>
      </c>
      <c r="D2024">
        <v>5</v>
      </c>
      <c r="Q2024">
        <v>5</v>
      </c>
    </row>
    <row r="2025" spans="1:17" x14ac:dyDescent="0.25">
      <c r="A2025">
        <v>5</v>
      </c>
      <c r="D2025">
        <v>5</v>
      </c>
      <c r="Q2025">
        <v>5.25</v>
      </c>
    </row>
    <row r="2026" spans="1:17" x14ac:dyDescent="0.25">
      <c r="A2026">
        <v>5</v>
      </c>
      <c r="D2026">
        <v>5.75</v>
      </c>
      <c r="Q2026">
        <v>5.25</v>
      </c>
    </row>
    <row r="2027" spans="1:17" x14ac:dyDescent="0.25">
      <c r="A2027">
        <v>5</v>
      </c>
      <c r="D2027">
        <v>3.5</v>
      </c>
      <c r="Q2027">
        <v>5</v>
      </c>
    </row>
    <row r="2028" spans="1:17" x14ac:dyDescent="0.25">
      <c r="A2028">
        <v>5</v>
      </c>
      <c r="D2028">
        <v>5</v>
      </c>
      <c r="Q2028">
        <v>5</v>
      </c>
    </row>
    <row r="2029" spans="1:17" x14ac:dyDescent="0.25">
      <c r="A2029">
        <v>5.25</v>
      </c>
      <c r="D2029">
        <v>3</v>
      </c>
      <c r="Q2029">
        <v>5</v>
      </c>
    </row>
    <row r="2030" spans="1:17" x14ac:dyDescent="0.25">
      <c r="A2030">
        <v>5</v>
      </c>
      <c r="D2030">
        <v>5</v>
      </c>
      <c r="Q2030">
        <v>5</v>
      </c>
    </row>
    <row r="2031" spans="1:17" x14ac:dyDescent="0.25">
      <c r="A2031">
        <v>1</v>
      </c>
      <c r="D2031">
        <v>5</v>
      </c>
      <c r="Q2031">
        <v>5</v>
      </c>
    </row>
    <row r="2032" spans="1:17" x14ac:dyDescent="0.25">
      <c r="A2032">
        <v>5</v>
      </c>
      <c r="D2032">
        <v>10</v>
      </c>
      <c r="Q2032">
        <v>1.5</v>
      </c>
    </row>
    <row r="2033" spans="1:17" x14ac:dyDescent="0.25">
      <c r="A2033">
        <v>5</v>
      </c>
      <c r="D2033">
        <v>5</v>
      </c>
      <c r="Q2033">
        <v>5</v>
      </c>
    </row>
    <row r="2034" spans="1:17" x14ac:dyDescent="0.25">
      <c r="A2034">
        <v>5.5</v>
      </c>
      <c r="D2034">
        <v>5</v>
      </c>
      <c r="Q2034">
        <v>4</v>
      </c>
    </row>
    <row r="2035" spans="1:17" x14ac:dyDescent="0.25">
      <c r="A2035">
        <v>4</v>
      </c>
      <c r="D2035">
        <v>5</v>
      </c>
      <c r="Q2035">
        <v>6.5</v>
      </c>
    </row>
    <row r="2036" spans="1:17" x14ac:dyDescent="0.25">
      <c r="A2036">
        <v>4</v>
      </c>
      <c r="D2036">
        <v>5</v>
      </c>
      <c r="Q2036">
        <v>2</v>
      </c>
    </row>
    <row r="2037" spans="1:17" x14ac:dyDescent="0.25">
      <c r="A2037">
        <v>5</v>
      </c>
      <c r="D2037">
        <v>5.25</v>
      </c>
      <c r="Q2037">
        <v>5</v>
      </c>
    </row>
    <row r="2038" spans="1:17" x14ac:dyDescent="0.25">
      <c r="A2038">
        <v>5</v>
      </c>
      <c r="D2038">
        <v>5</v>
      </c>
      <c r="Q2038">
        <v>4.75</v>
      </c>
    </row>
    <row r="2039" spans="1:17" x14ac:dyDescent="0.25">
      <c r="A2039">
        <v>5</v>
      </c>
      <c r="D2039">
        <v>5</v>
      </c>
      <c r="Q2039">
        <v>5</v>
      </c>
    </row>
    <row r="2040" spans="1:17" x14ac:dyDescent="0.25">
      <c r="A2040">
        <v>5</v>
      </c>
      <c r="D2040">
        <v>5</v>
      </c>
      <c r="Q2040">
        <v>5</v>
      </c>
    </row>
    <row r="2041" spans="1:17" x14ac:dyDescent="0.25">
      <c r="A2041">
        <v>5</v>
      </c>
      <c r="D2041">
        <v>5</v>
      </c>
      <c r="Q2041">
        <v>3.5</v>
      </c>
    </row>
    <row r="2042" spans="1:17" x14ac:dyDescent="0.25">
      <c r="A2042">
        <v>5</v>
      </c>
      <c r="D2042">
        <v>10</v>
      </c>
      <c r="Q2042">
        <v>5</v>
      </c>
    </row>
    <row r="2043" spans="1:17" x14ac:dyDescent="0.25">
      <c r="A2043">
        <v>9</v>
      </c>
      <c r="D2043">
        <v>5</v>
      </c>
      <c r="Q2043">
        <v>5</v>
      </c>
    </row>
    <row r="2044" spans="1:17" x14ac:dyDescent="0.25">
      <c r="A2044">
        <v>2.5</v>
      </c>
      <c r="D2044">
        <v>4.25</v>
      </c>
      <c r="Q2044">
        <v>5</v>
      </c>
    </row>
    <row r="2045" spans="1:17" x14ac:dyDescent="0.25">
      <c r="A2045">
        <v>4.75</v>
      </c>
      <c r="D2045">
        <v>3.5</v>
      </c>
      <c r="Q2045">
        <v>5</v>
      </c>
    </row>
    <row r="2046" spans="1:17" x14ac:dyDescent="0.25">
      <c r="A2046">
        <v>10</v>
      </c>
      <c r="D2046">
        <v>5</v>
      </c>
      <c r="Q2046">
        <v>5</v>
      </c>
    </row>
    <row r="2047" spans="1:17" x14ac:dyDescent="0.25">
      <c r="A2047">
        <v>8</v>
      </c>
      <c r="D2047">
        <v>5</v>
      </c>
      <c r="Q2047">
        <v>4</v>
      </c>
    </row>
    <row r="2048" spans="1:17" x14ac:dyDescent="0.25">
      <c r="A2048">
        <v>5</v>
      </c>
      <c r="D2048">
        <v>5</v>
      </c>
      <c r="Q2048">
        <v>5</v>
      </c>
    </row>
    <row r="2049" spans="1:17" x14ac:dyDescent="0.25">
      <c r="A2049">
        <v>5</v>
      </c>
      <c r="D2049">
        <v>4</v>
      </c>
      <c r="Q2049">
        <v>5</v>
      </c>
    </row>
    <row r="2050" spans="1:17" x14ac:dyDescent="0.25">
      <c r="A2050">
        <v>5</v>
      </c>
      <c r="D2050">
        <v>5</v>
      </c>
      <c r="Q2050">
        <v>5</v>
      </c>
    </row>
    <row r="2051" spans="1:17" x14ac:dyDescent="0.25">
      <c r="A2051">
        <v>5.75</v>
      </c>
      <c r="D2051">
        <v>10</v>
      </c>
      <c r="Q2051">
        <v>5</v>
      </c>
    </row>
    <row r="2052" spans="1:17" x14ac:dyDescent="0.25">
      <c r="A2052">
        <v>5</v>
      </c>
      <c r="D2052">
        <v>5</v>
      </c>
      <c r="Q2052">
        <v>5</v>
      </c>
    </row>
    <row r="2053" spans="1:17" x14ac:dyDescent="0.25">
      <c r="A2053">
        <v>2.5</v>
      </c>
      <c r="D2053">
        <v>5.25</v>
      </c>
      <c r="Q2053">
        <v>5</v>
      </c>
    </row>
    <row r="2054" spans="1:17" x14ac:dyDescent="0.25">
      <c r="A2054">
        <v>8</v>
      </c>
      <c r="D2054">
        <v>5</v>
      </c>
      <c r="Q2054">
        <v>5.75</v>
      </c>
    </row>
    <row r="2055" spans="1:17" x14ac:dyDescent="0.25">
      <c r="A2055">
        <v>5</v>
      </c>
      <c r="D2055">
        <v>5</v>
      </c>
      <c r="Q2055">
        <v>5</v>
      </c>
    </row>
    <row r="2056" spans="1:17" x14ac:dyDescent="0.25">
      <c r="A2056">
        <v>5</v>
      </c>
      <c r="D2056">
        <v>5</v>
      </c>
      <c r="Q2056">
        <v>3.25</v>
      </c>
    </row>
    <row r="2057" spans="1:17" x14ac:dyDescent="0.25">
      <c r="A2057">
        <v>5</v>
      </c>
      <c r="D2057">
        <v>5</v>
      </c>
      <c r="Q2057">
        <v>5</v>
      </c>
    </row>
    <row r="2058" spans="1:17" x14ac:dyDescent="0.25">
      <c r="A2058">
        <v>5</v>
      </c>
      <c r="D2058">
        <v>1.25</v>
      </c>
      <c r="Q2058">
        <v>3</v>
      </c>
    </row>
    <row r="2059" spans="1:17" x14ac:dyDescent="0.25">
      <c r="A2059">
        <v>5</v>
      </c>
      <c r="D2059">
        <v>1</v>
      </c>
      <c r="Q2059">
        <v>5</v>
      </c>
    </row>
    <row r="2060" spans="1:17" x14ac:dyDescent="0.25">
      <c r="A2060">
        <v>5</v>
      </c>
      <c r="D2060">
        <v>5</v>
      </c>
      <c r="Q2060">
        <v>5</v>
      </c>
    </row>
    <row r="2061" spans="1:17" x14ac:dyDescent="0.25">
      <c r="A2061">
        <v>5</v>
      </c>
      <c r="D2061">
        <v>5</v>
      </c>
      <c r="Q2061">
        <v>5</v>
      </c>
    </row>
    <row r="2062" spans="1:17" x14ac:dyDescent="0.25">
      <c r="A2062">
        <v>10</v>
      </c>
      <c r="D2062">
        <v>5</v>
      </c>
      <c r="Q2062">
        <v>7.25</v>
      </c>
    </row>
    <row r="2063" spans="1:17" x14ac:dyDescent="0.25">
      <c r="A2063">
        <v>5</v>
      </c>
      <c r="D2063">
        <v>5</v>
      </c>
      <c r="Q2063">
        <v>5</v>
      </c>
    </row>
    <row r="2064" spans="1:17" x14ac:dyDescent="0.25">
      <c r="A2064">
        <v>3.5</v>
      </c>
      <c r="D2064">
        <v>2.5</v>
      </c>
      <c r="Q2064">
        <v>5.25</v>
      </c>
    </row>
    <row r="2065" spans="1:17" x14ac:dyDescent="0.25">
      <c r="A2065">
        <v>3</v>
      </c>
      <c r="D2065">
        <v>4</v>
      </c>
      <c r="Q2065">
        <v>5</v>
      </c>
    </row>
    <row r="2066" spans="1:17" x14ac:dyDescent="0.25">
      <c r="A2066">
        <v>5</v>
      </c>
      <c r="D2066">
        <v>1</v>
      </c>
      <c r="Q2066">
        <v>5</v>
      </c>
    </row>
    <row r="2067" spans="1:17" x14ac:dyDescent="0.25">
      <c r="A2067">
        <v>5</v>
      </c>
      <c r="D2067">
        <v>5</v>
      </c>
      <c r="Q2067">
        <v>5</v>
      </c>
    </row>
    <row r="2068" spans="1:17" x14ac:dyDescent="0.25">
      <c r="A2068">
        <v>3</v>
      </c>
      <c r="D2068">
        <v>5.75</v>
      </c>
      <c r="Q2068">
        <v>5</v>
      </c>
    </row>
    <row r="2069" spans="1:17" x14ac:dyDescent="0.25">
      <c r="A2069">
        <v>5</v>
      </c>
      <c r="D2069">
        <v>5</v>
      </c>
      <c r="Q2069">
        <v>6.5</v>
      </c>
    </row>
    <row r="2070" spans="1:17" x14ac:dyDescent="0.25">
      <c r="A2070">
        <v>5</v>
      </c>
      <c r="D2070">
        <v>5.25</v>
      </c>
      <c r="Q2070">
        <v>5</v>
      </c>
    </row>
    <row r="2071" spans="1:17" x14ac:dyDescent="0.25">
      <c r="A2071">
        <v>5</v>
      </c>
      <c r="D2071">
        <v>5</v>
      </c>
      <c r="Q2071">
        <v>6.5</v>
      </c>
    </row>
    <row r="2072" spans="1:17" x14ac:dyDescent="0.25">
      <c r="A2072">
        <v>5</v>
      </c>
      <c r="D2072">
        <v>5</v>
      </c>
      <c r="Q2072">
        <v>5</v>
      </c>
    </row>
    <row r="2073" spans="1:17" x14ac:dyDescent="0.25">
      <c r="A2073">
        <v>10</v>
      </c>
      <c r="D2073">
        <v>5</v>
      </c>
      <c r="Q2073">
        <v>5</v>
      </c>
    </row>
    <row r="2074" spans="1:17" x14ac:dyDescent="0.25">
      <c r="A2074">
        <v>5</v>
      </c>
      <c r="D2074">
        <v>10</v>
      </c>
      <c r="Q2074">
        <v>5</v>
      </c>
    </row>
    <row r="2075" spans="1:17" x14ac:dyDescent="0.25">
      <c r="A2075">
        <v>3</v>
      </c>
      <c r="D2075">
        <v>5</v>
      </c>
      <c r="Q2075">
        <v>5</v>
      </c>
    </row>
    <row r="2076" spans="1:17" x14ac:dyDescent="0.25">
      <c r="A2076">
        <v>5</v>
      </c>
      <c r="D2076">
        <v>4</v>
      </c>
      <c r="Q2076">
        <v>5</v>
      </c>
    </row>
    <row r="2077" spans="1:17" x14ac:dyDescent="0.25">
      <c r="A2077">
        <v>1</v>
      </c>
      <c r="D2077">
        <v>5</v>
      </c>
      <c r="Q2077">
        <v>5</v>
      </c>
    </row>
    <row r="2078" spans="1:17" x14ac:dyDescent="0.25">
      <c r="A2078">
        <v>4</v>
      </c>
      <c r="D2078">
        <v>5</v>
      </c>
      <c r="Q2078">
        <v>5</v>
      </c>
    </row>
    <row r="2079" spans="1:17" x14ac:dyDescent="0.25">
      <c r="A2079">
        <v>5</v>
      </c>
      <c r="D2079">
        <v>5</v>
      </c>
      <c r="Q2079">
        <v>5</v>
      </c>
    </row>
    <row r="2080" spans="1:17" x14ac:dyDescent="0.25">
      <c r="A2080">
        <v>5</v>
      </c>
      <c r="D2080">
        <v>5</v>
      </c>
      <c r="Q2080">
        <v>5</v>
      </c>
    </row>
    <row r="2081" spans="1:17" x14ac:dyDescent="0.25">
      <c r="A2081">
        <v>5.25</v>
      </c>
      <c r="D2081">
        <v>5</v>
      </c>
      <c r="Q2081">
        <v>5</v>
      </c>
    </row>
    <row r="2082" spans="1:17" x14ac:dyDescent="0.25">
      <c r="A2082">
        <v>5</v>
      </c>
      <c r="D2082">
        <v>5</v>
      </c>
      <c r="Q2082">
        <v>3.5</v>
      </c>
    </row>
    <row r="2083" spans="1:17" x14ac:dyDescent="0.25">
      <c r="A2083">
        <v>5</v>
      </c>
      <c r="D2083">
        <v>5</v>
      </c>
      <c r="Q2083">
        <v>1</v>
      </c>
    </row>
    <row r="2084" spans="1:17" x14ac:dyDescent="0.25">
      <c r="A2084">
        <v>5</v>
      </c>
      <c r="D2084">
        <v>5</v>
      </c>
      <c r="Q2084">
        <v>5</v>
      </c>
    </row>
    <row r="2085" spans="1:17" x14ac:dyDescent="0.25">
      <c r="A2085">
        <v>5</v>
      </c>
      <c r="D2085">
        <v>5</v>
      </c>
      <c r="Q2085">
        <v>5</v>
      </c>
    </row>
    <row r="2086" spans="1:17" x14ac:dyDescent="0.25">
      <c r="A2086">
        <v>5</v>
      </c>
      <c r="D2086">
        <v>5.25</v>
      </c>
      <c r="Q2086">
        <v>8</v>
      </c>
    </row>
    <row r="2087" spans="1:17" x14ac:dyDescent="0.25">
      <c r="A2087">
        <v>5</v>
      </c>
      <c r="D2087">
        <v>5</v>
      </c>
      <c r="Q2087">
        <v>4.25</v>
      </c>
    </row>
    <row r="2088" spans="1:17" x14ac:dyDescent="0.25">
      <c r="A2088">
        <v>3</v>
      </c>
      <c r="D2088">
        <v>5</v>
      </c>
      <c r="Q2088">
        <v>2</v>
      </c>
    </row>
    <row r="2089" spans="1:17" x14ac:dyDescent="0.25">
      <c r="A2089">
        <v>3</v>
      </c>
      <c r="D2089">
        <v>5</v>
      </c>
      <c r="Q2089">
        <v>4.5</v>
      </c>
    </row>
    <row r="2090" spans="1:17" x14ac:dyDescent="0.25">
      <c r="A2090">
        <v>5</v>
      </c>
      <c r="D2090">
        <v>5</v>
      </c>
      <c r="Q2090">
        <v>3</v>
      </c>
    </row>
    <row r="2091" spans="1:17" x14ac:dyDescent="0.25">
      <c r="A2091">
        <v>5</v>
      </c>
      <c r="D2091">
        <v>1.25</v>
      </c>
      <c r="Q2091">
        <v>0.375</v>
      </c>
    </row>
    <row r="2092" spans="1:17" x14ac:dyDescent="0.25">
      <c r="A2092">
        <v>5</v>
      </c>
      <c r="D2092">
        <v>10</v>
      </c>
      <c r="Q2092">
        <v>0.375</v>
      </c>
    </row>
    <row r="2093" spans="1:17" x14ac:dyDescent="0.25">
      <c r="A2093">
        <v>5</v>
      </c>
      <c r="D2093">
        <v>5.25</v>
      </c>
      <c r="Q2093">
        <v>5</v>
      </c>
    </row>
    <row r="2094" spans="1:17" x14ac:dyDescent="0.25">
      <c r="A2094">
        <v>2.25</v>
      </c>
      <c r="D2094">
        <v>5</v>
      </c>
      <c r="Q2094">
        <v>5.625</v>
      </c>
    </row>
    <row r="2095" spans="1:17" x14ac:dyDescent="0.25">
      <c r="A2095">
        <v>5</v>
      </c>
      <c r="D2095">
        <v>2.5</v>
      </c>
      <c r="Q2095">
        <v>5</v>
      </c>
    </row>
    <row r="2096" spans="1:17" x14ac:dyDescent="0.25">
      <c r="A2096">
        <v>5</v>
      </c>
      <c r="D2096">
        <v>5</v>
      </c>
      <c r="Q2096">
        <v>5</v>
      </c>
    </row>
    <row r="2097" spans="1:17" x14ac:dyDescent="0.25">
      <c r="A2097">
        <v>3.25</v>
      </c>
      <c r="D2097">
        <v>4.5</v>
      </c>
      <c r="Q2097">
        <v>5</v>
      </c>
    </row>
    <row r="2098" spans="1:17" x14ac:dyDescent="0.25">
      <c r="A2098">
        <v>5</v>
      </c>
      <c r="D2098">
        <v>5</v>
      </c>
      <c r="Q2098">
        <v>7.25</v>
      </c>
    </row>
    <row r="2099" spans="1:17" x14ac:dyDescent="0.25">
      <c r="A2099">
        <v>5</v>
      </c>
      <c r="D2099">
        <v>5</v>
      </c>
      <c r="Q2099">
        <v>5</v>
      </c>
    </row>
    <row r="2100" spans="1:17" x14ac:dyDescent="0.25">
      <c r="A2100">
        <v>3</v>
      </c>
      <c r="D2100">
        <v>5</v>
      </c>
      <c r="Q2100">
        <v>1</v>
      </c>
    </row>
    <row r="2101" spans="1:17" x14ac:dyDescent="0.25">
      <c r="A2101">
        <v>5</v>
      </c>
      <c r="D2101">
        <v>5</v>
      </c>
      <c r="Q2101">
        <v>4</v>
      </c>
    </row>
    <row r="2102" spans="1:17" x14ac:dyDescent="0.25">
      <c r="A2102">
        <v>5</v>
      </c>
      <c r="D2102">
        <v>5</v>
      </c>
      <c r="Q2102">
        <v>3</v>
      </c>
    </row>
    <row r="2103" spans="1:17" x14ac:dyDescent="0.25">
      <c r="A2103">
        <v>8</v>
      </c>
      <c r="D2103">
        <v>5</v>
      </c>
      <c r="Q2103">
        <v>5</v>
      </c>
    </row>
    <row r="2104" spans="1:17" x14ac:dyDescent="0.25">
      <c r="A2104">
        <v>5</v>
      </c>
      <c r="D2104">
        <v>5</v>
      </c>
      <c r="Q2104">
        <v>5</v>
      </c>
    </row>
    <row r="2105" spans="1:17" x14ac:dyDescent="0.25">
      <c r="A2105">
        <v>5</v>
      </c>
      <c r="D2105">
        <v>9</v>
      </c>
      <c r="Q2105">
        <v>2.5</v>
      </c>
    </row>
    <row r="2106" spans="1:17" x14ac:dyDescent="0.25">
      <c r="A2106">
        <v>5</v>
      </c>
      <c r="D2106">
        <v>1</v>
      </c>
      <c r="Q2106">
        <v>5.75</v>
      </c>
    </row>
    <row r="2107" spans="1:17" x14ac:dyDescent="0.25">
      <c r="A2107">
        <v>5</v>
      </c>
      <c r="D2107">
        <v>5</v>
      </c>
      <c r="Q2107">
        <v>5</v>
      </c>
    </row>
    <row r="2108" spans="1:17" x14ac:dyDescent="0.25">
      <c r="A2108">
        <v>5</v>
      </c>
      <c r="D2108">
        <v>5</v>
      </c>
      <c r="Q2108">
        <v>5</v>
      </c>
    </row>
    <row r="2109" spans="1:17" x14ac:dyDescent="0.25">
      <c r="A2109">
        <v>5</v>
      </c>
      <c r="D2109">
        <v>4</v>
      </c>
      <c r="Q2109">
        <v>5.25</v>
      </c>
    </row>
    <row r="2110" spans="1:17" x14ac:dyDescent="0.25">
      <c r="A2110">
        <v>5</v>
      </c>
      <c r="D2110">
        <v>3.5</v>
      </c>
      <c r="Q2110">
        <v>5</v>
      </c>
    </row>
    <row r="2111" spans="1:17" x14ac:dyDescent="0.25">
      <c r="A2111">
        <v>5.75</v>
      </c>
      <c r="D2111">
        <v>5</v>
      </c>
      <c r="Q2111">
        <v>5</v>
      </c>
    </row>
    <row r="2112" spans="1:17" x14ac:dyDescent="0.25">
      <c r="A2112">
        <v>5</v>
      </c>
      <c r="D2112">
        <v>5</v>
      </c>
      <c r="Q2112">
        <v>5</v>
      </c>
    </row>
    <row r="2113" spans="1:17" x14ac:dyDescent="0.25">
      <c r="A2113">
        <v>5</v>
      </c>
      <c r="D2113">
        <v>5</v>
      </c>
      <c r="Q2113">
        <v>5</v>
      </c>
    </row>
    <row r="2114" spans="1:17" x14ac:dyDescent="0.25">
      <c r="A2114">
        <v>5</v>
      </c>
      <c r="D2114">
        <v>5</v>
      </c>
      <c r="Q2114">
        <v>5</v>
      </c>
    </row>
    <row r="2115" spans="1:17" x14ac:dyDescent="0.25">
      <c r="A2115">
        <v>5.5</v>
      </c>
      <c r="D2115">
        <v>5</v>
      </c>
      <c r="Q2115">
        <v>5</v>
      </c>
    </row>
    <row r="2116" spans="1:17" x14ac:dyDescent="0.25">
      <c r="A2116">
        <v>2.75</v>
      </c>
      <c r="D2116">
        <v>2.5</v>
      </c>
      <c r="Q2116">
        <v>5</v>
      </c>
    </row>
    <row r="2117" spans="1:17" x14ac:dyDescent="0.25">
      <c r="A2117">
        <v>5.5</v>
      </c>
      <c r="D2117">
        <v>4.5</v>
      </c>
      <c r="Q2117">
        <v>3</v>
      </c>
    </row>
    <row r="2118" spans="1:17" x14ac:dyDescent="0.25">
      <c r="A2118">
        <v>5</v>
      </c>
      <c r="D2118">
        <v>10</v>
      </c>
      <c r="Q2118">
        <v>5</v>
      </c>
    </row>
    <row r="2119" spans="1:17" x14ac:dyDescent="0.25">
      <c r="A2119">
        <v>2.5</v>
      </c>
      <c r="D2119">
        <v>5</v>
      </c>
      <c r="Q2119">
        <v>4</v>
      </c>
    </row>
    <row r="2120" spans="1:17" x14ac:dyDescent="0.25">
      <c r="A2120">
        <v>9</v>
      </c>
      <c r="D2120">
        <v>3.5</v>
      </c>
      <c r="Q2120">
        <v>5</v>
      </c>
    </row>
    <row r="2121" spans="1:17" x14ac:dyDescent="0.25">
      <c r="A2121">
        <v>5</v>
      </c>
      <c r="D2121">
        <v>10</v>
      </c>
      <c r="Q2121">
        <v>1</v>
      </c>
    </row>
    <row r="2122" spans="1:17" x14ac:dyDescent="0.25">
      <c r="A2122">
        <v>5</v>
      </c>
      <c r="D2122">
        <v>5</v>
      </c>
      <c r="Q2122">
        <v>3</v>
      </c>
    </row>
    <row r="2123" spans="1:17" x14ac:dyDescent="0.25">
      <c r="A2123">
        <v>5.5</v>
      </c>
      <c r="D2123">
        <v>5.25</v>
      </c>
      <c r="Q2123">
        <v>5</v>
      </c>
    </row>
    <row r="2124" spans="1:17" x14ac:dyDescent="0.25">
      <c r="A2124">
        <v>13.5</v>
      </c>
      <c r="D2124">
        <v>5</v>
      </c>
      <c r="Q2124">
        <v>5</v>
      </c>
    </row>
    <row r="2125" spans="1:17" x14ac:dyDescent="0.25">
      <c r="A2125">
        <v>5</v>
      </c>
      <c r="D2125">
        <v>5</v>
      </c>
      <c r="Q2125">
        <v>5</v>
      </c>
    </row>
    <row r="2126" spans="1:17" x14ac:dyDescent="0.25">
      <c r="A2126">
        <v>5</v>
      </c>
      <c r="D2126">
        <v>6.5</v>
      </c>
      <c r="Q2126">
        <v>5</v>
      </c>
    </row>
    <row r="2127" spans="1:17" x14ac:dyDescent="0.25">
      <c r="A2127">
        <v>2.5</v>
      </c>
      <c r="D2127">
        <v>5</v>
      </c>
      <c r="Q2127">
        <v>5</v>
      </c>
    </row>
    <row r="2128" spans="1:17" x14ac:dyDescent="0.25">
      <c r="A2128">
        <v>5</v>
      </c>
      <c r="D2128">
        <v>5</v>
      </c>
      <c r="Q2128">
        <v>5</v>
      </c>
    </row>
    <row r="2129" spans="1:17" x14ac:dyDescent="0.25">
      <c r="A2129">
        <v>7</v>
      </c>
      <c r="D2129">
        <v>4.75</v>
      </c>
      <c r="Q2129">
        <v>6</v>
      </c>
    </row>
    <row r="2130" spans="1:17" x14ac:dyDescent="0.25">
      <c r="A2130">
        <v>9</v>
      </c>
      <c r="D2130">
        <v>5</v>
      </c>
      <c r="Q2130">
        <v>3.5</v>
      </c>
    </row>
    <row r="2131" spans="1:17" x14ac:dyDescent="0.25">
      <c r="A2131">
        <v>8.75</v>
      </c>
      <c r="D2131">
        <v>10</v>
      </c>
      <c r="Q2131">
        <v>7</v>
      </c>
    </row>
    <row r="2132" spans="1:17" x14ac:dyDescent="0.25">
      <c r="A2132">
        <v>5</v>
      </c>
      <c r="D2132">
        <v>5</v>
      </c>
      <c r="Q2132">
        <v>4.5</v>
      </c>
    </row>
    <row r="2133" spans="1:17" x14ac:dyDescent="0.25">
      <c r="A2133">
        <v>5</v>
      </c>
      <c r="D2133">
        <v>5</v>
      </c>
      <c r="Q2133">
        <v>5</v>
      </c>
    </row>
    <row r="2134" spans="1:17" x14ac:dyDescent="0.25">
      <c r="A2134">
        <v>5</v>
      </c>
      <c r="D2134">
        <v>7.25</v>
      </c>
      <c r="Q2134">
        <v>5</v>
      </c>
    </row>
    <row r="2135" spans="1:17" x14ac:dyDescent="0.25">
      <c r="A2135">
        <v>5</v>
      </c>
      <c r="D2135">
        <v>10</v>
      </c>
      <c r="Q2135">
        <v>5</v>
      </c>
    </row>
    <row r="2136" spans="1:17" x14ac:dyDescent="0.25">
      <c r="A2136">
        <v>4</v>
      </c>
      <c r="D2136">
        <v>10</v>
      </c>
      <c r="Q2136">
        <v>4.75</v>
      </c>
    </row>
    <row r="2137" spans="1:17" x14ac:dyDescent="0.25">
      <c r="A2137">
        <v>5</v>
      </c>
      <c r="D2137">
        <v>5</v>
      </c>
      <c r="Q2137">
        <v>3</v>
      </c>
    </row>
    <row r="2138" spans="1:17" x14ac:dyDescent="0.25">
      <c r="A2138">
        <v>5</v>
      </c>
      <c r="D2138">
        <v>1.5</v>
      </c>
      <c r="Q2138">
        <v>6</v>
      </c>
    </row>
    <row r="2139" spans="1:17" x14ac:dyDescent="0.25">
      <c r="A2139">
        <v>5.5</v>
      </c>
      <c r="D2139">
        <v>5</v>
      </c>
      <c r="Q2139">
        <v>5</v>
      </c>
    </row>
    <row r="2140" spans="1:17" x14ac:dyDescent="0.25">
      <c r="A2140">
        <v>5</v>
      </c>
      <c r="D2140">
        <v>4</v>
      </c>
      <c r="Q2140">
        <v>5</v>
      </c>
    </row>
    <row r="2141" spans="1:17" x14ac:dyDescent="0.25">
      <c r="A2141">
        <v>5</v>
      </c>
      <c r="D2141">
        <v>5</v>
      </c>
      <c r="Q2141">
        <v>0.25</v>
      </c>
    </row>
    <row r="2142" spans="1:17" x14ac:dyDescent="0.25">
      <c r="A2142">
        <v>7</v>
      </c>
      <c r="D2142">
        <v>4</v>
      </c>
      <c r="Q2142">
        <v>5</v>
      </c>
    </row>
    <row r="2143" spans="1:17" x14ac:dyDescent="0.25">
      <c r="A2143">
        <v>5</v>
      </c>
      <c r="D2143">
        <v>5</v>
      </c>
      <c r="Q2143">
        <v>5</v>
      </c>
    </row>
    <row r="2144" spans="1:17" x14ac:dyDescent="0.25">
      <c r="A2144">
        <v>5</v>
      </c>
      <c r="D2144">
        <v>7</v>
      </c>
      <c r="Q2144">
        <v>5.25</v>
      </c>
    </row>
    <row r="2145" spans="1:17" x14ac:dyDescent="0.25">
      <c r="A2145">
        <v>5</v>
      </c>
      <c r="D2145">
        <v>5.5</v>
      </c>
      <c r="Q2145">
        <v>5</v>
      </c>
    </row>
    <row r="2146" spans="1:17" x14ac:dyDescent="0.25">
      <c r="A2146">
        <v>1</v>
      </c>
      <c r="D2146">
        <v>5</v>
      </c>
      <c r="Q2146">
        <v>4.5</v>
      </c>
    </row>
    <row r="2147" spans="1:17" x14ac:dyDescent="0.25">
      <c r="A2147">
        <v>2.5</v>
      </c>
      <c r="D2147">
        <v>5</v>
      </c>
      <c r="Q2147">
        <v>5</v>
      </c>
    </row>
    <row r="2148" spans="1:17" x14ac:dyDescent="0.25">
      <c r="A2148">
        <v>1</v>
      </c>
      <c r="D2148">
        <v>5</v>
      </c>
      <c r="Q2148">
        <v>5</v>
      </c>
    </row>
    <row r="2149" spans="1:17" x14ac:dyDescent="0.25">
      <c r="A2149">
        <v>6</v>
      </c>
      <c r="D2149">
        <v>5</v>
      </c>
      <c r="Q2149">
        <v>5</v>
      </c>
    </row>
    <row r="2150" spans="1:17" x14ac:dyDescent="0.25">
      <c r="A2150">
        <v>5</v>
      </c>
      <c r="D2150">
        <v>5</v>
      </c>
      <c r="Q2150">
        <v>5</v>
      </c>
    </row>
    <row r="2151" spans="1:17" x14ac:dyDescent="0.25">
      <c r="A2151">
        <v>5</v>
      </c>
      <c r="D2151">
        <v>5.25</v>
      </c>
      <c r="Q2151">
        <v>5</v>
      </c>
    </row>
    <row r="2152" spans="1:17" x14ac:dyDescent="0.25">
      <c r="A2152">
        <v>5.25</v>
      </c>
      <c r="D2152">
        <v>5</v>
      </c>
      <c r="Q2152">
        <v>5</v>
      </c>
    </row>
    <row r="2153" spans="1:17" x14ac:dyDescent="0.25">
      <c r="A2153">
        <v>5.25</v>
      </c>
      <c r="D2153">
        <v>4.5</v>
      </c>
      <c r="Q2153">
        <v>1.5</v>
      </c>
    </row>
    <row r="2154" spans="1:17" x14ac:dyDescent="0.25">
      <c r="A2154">
        <v>5</v>
      </c>
      <c r="D2154">
        <v>2</v>
      </c>
      <c r="Q2154">
        <v>5</v>
      </c>
    </row>
    <row r="2155" spans="1:17" x14ac:dyDescent="0.25">
      <c r="A2155">
        <v>7.25</v>
      </c>
      <c r="D2155">
        <v>2.25</v>
      </c>
      <c r="Q2155">
        <v>5</v>
      </c>
    </row>
    <row r="2156" spans="1:17" x14ac:dyDescent="0.25">
      <c r="A2156">
        <v>1.5</v>
      </c>
      <c r="D2156">
        <v>5.5</v>
      </c>
      <c r="Q2156">
        <v>4</v>
      </c>
    </row>
    <row r="2157" spans="1:17" x14ac:dyDescent="0.25">
      <c r="A2157">
        <v>7</v>
      </c>
      <c r="D2157">
        <v>5</v>
      </c>
      <c r="Q2157">
        <v>5</v>
      </c>
    </row>
    <row r="2158" spans="1:17" x14ac:dyDescent="0.25">
      <c r="A2158">
        <v>3.5</v>
      </c>
      <c r="D2158">
        <v>5</v>
      </c>
      <c r="Q2158">
        <v>5</v>
      </c>
    </row>
    <row r="2159" spans="1:17" x14ac:dyDescent="0.25">
      <c r="A2159">
        <v>2.25</v>
      </c>
      <c r="D2159">
        <v>7.25</v>
      </c>
      <c r="Q2159">
        <v>3.5</v>
      </c>
    </row>
    <row r="2160" spans="1:17" x14ac:dyDescent="0.25">
      <c r="A2160">
        <v>5.25</v>
      </c>
      <c r="D2160">
        <v>5</v>
      </c>
      <c r="Q2160">
        <v>5</v>
      </c>
    </row>
    <row r="2161" spans="1:17" x14ac:dyDescent="0.25">
      <c r="A2161">
        <v>5</v>
      </c>
      <c r="D2161">
        <v>5</v>
      </c>
      <c r="Q2161">
        <v>5</v>
      </c>
    </row>
    <row r="2162" spans="1:17" x14ac:dyDescent="0.25">
      <c r="A2162">
        <v>5</v>
      </c>
      <c r="D2162">
        <v>2.5</v>
      </c>
      <c r="Q2162">
        <v>3.5</v>
      </c>
    </row>
    <row r="2163" spans="1:17" x14ac:dyDescent="0.25">
      <c r="A2163">
        <v>3</v>
      </c>
      <c r="D2163">
        <v>5.75</v>
      </c>
      <c r="Q2163">
        <v>5</v>
      </c>
    </row>
    <row r="2164" spans="1:17" x14ac:dyDescent="0.25">
      <c r="A2164">
        <v>5</v>
      </c>
      <c r="D2164">
        <v>5</v>
      </c>
      <c r="Q2164">
        <v>5</v>
      </c>
    </row>
    <row r="2165" spans="1:17" x14ac:dyDescent="0.25">
      <c r="A2165">
        <v>4.5</v>
      </c>
      <c r="D2165">
        <v>2.5</v>
      </c>
      <c r="Q2165">
        <v>5.75</v>
      </c>
    </row>
    <row r="2166" spans="1:17" x14ac:dyDescent="0.25">
      <c r="A2166">
        <v>5</v>
      </c>
      <c r="D2166">
        <v>5</v>
      </c>
      <c r="Q2166">
        <v>5</v>
      </c>
    </row>
    <row r="2167" spans="1:17" x14ac:dyDescent="0.25">
      <c r="A2167">
        <v>5</v>
      </c>
      <c r="D2167">
        <v>5</v>
      </c>
      <c r="Q2167">
        <v>5</v>
      </c>
    </row>
    <row r="2168" spans="1:17" x14ac:dyDescent="0.25">
      <c r="A2168">
        <v>5</v>
      </c>
      <c r="D2168">
        <v>5</v>
      </c>
      <c r="Q2168">
        <v>5</v>
      </c>
    </row>
    <row r="2169" spans="1:17" x14ac:dyDescent="0.25">
      <c r="A2169">
        <v>5.75</v>
      </c>
      <c r="D2169">
        <v>10</v>
      </c>
      <c r="Q2169">
        <v>5</v>
      </c>
    </row>
    <row r="2170" spans="1:17" x14ac:dyDescent="0.25">
      <c r="A2170">
        <v>5</v>
      </c>
      <c r="D2170">
        <v>5</v>
      </c>
      <c r="Q2170">
        <v>5</v>
      </c>
    </row>
    <row r="2171" spans="1:17" x14ac:dyDescent="0.25">
      <c r="A2171">
        <v>5</v>
      </c>
      <c r="D2171">
        <v>7</v>
      </c>
      <c r="Q2171">
        <v>5</v>
      </c>
    </row>
    <row r="2172" spans="1:17" x14ac:dyDescent="0.25">
      <c r="A2172">
        <v>5</v>
      </c>
      <c r="D2172">
        <v>3</v>
      </c>
      <c r="Q2172">
        <v>5</v>
      </c>
    </row>
    <row r="2173" spans="1:17" x14ac:dyDescent="0.25">
      <c r="A2173">
        <v>5</v>
      </c>
      <c r="D2173">
        <v>5</v>
      </c>
      <c r="Q2173">
        <v>3.5</v>
      </c>
    </row>
    <row r="2174" spans="1:17" x14ac:dyDescent="0.25">
      <c r="A2174">
        <v>5</v>
      </c>
      <c r="D2174">
        <v>5</v>
      </c>
      <c r="Q2174">
        <v>5.5</v>
      </c>
    </row>
    <row r="2175" spans="1:17" x14ac:dyDescent="0.25">
      <c r="A2175">
        <v>4</v>
      </c>
      <c r="D2175">
        <v>5</v>
      </c>
      <c r="Q2175">
        <v>5.25</v>
      </c>
    </row>
    <row r="2176" spans="1:17" x14ac:dyDescent="0.25">
      <c r="A2176">
        <v>5</v>
      </c>
      <c r="D2176">
        <v>3.75</v>
      </c>
      <c r="Q2176">
        <v>5</v>
      </c>
    </row>
    <row r="2177" spans="1:17" x14ac:dyDescent="0.25">
      <c r="A2177">
        <v>5</v>
      </c>
      <c r="D2177">
        <v>5</v>
      </c>
      <c r="Q2177">
        <v>5</v>
      </c>
    </row>
    <row r="2178" spans="1:17" x14ac:dyDescent="0.25">
      <c r="A2178">
        <v>5</v>
      </c>
      <c r="D2178">
        <v>5</v>
      </c>
      <c r="Q2178">
        <v>5</v>
      </c>
    </row>
    <row r="2179" spans="1:17" x14ac:dyDescent="0.25">
      <c r="A2179">
        <v>4</v>
      </c>
      <c r="D2179">
        <v>5</v>
      </c>
      <c r="Q2179">
        <v>5</v>
      </c>
    </row>
    <row r="2180" spans="1:17" x14ac:dyDescent="0.25">
      <c r="A2180">
        <v>5</v>
      </c>
      <c r="D2180">
        <v>5</v>
      </c>
      <c r="Q2180">
        <v>5</v>
      </c>
    </row>
    <row r="2181" spans="1:17" x14ac:dyDescent="0.25">
      <c r="A2181">
        <v>7.25</v>
      </c>
      <c r="D2181">
        <v>5</v>
      </c>
      <c r="Q2181">
        <v>3</v>
      </c>
    </row>
    <row r="2182" spans="1:17" x14ac:dyDescent="0.25">
      <c r="A2182">
        <v>9</v>
      </c>
      <c r="D2182">
        <v>5</v>
      </c>
      <c r="Q2182">
        <v>5</v>
      </c>
    </row>
    <row r="2183" spans="1:17" x14ac:dyDescent="0.25">
      <c r="A2183">
        <v>3</v>
      </c>
      <c r="D2183">
        <v>5</v>
      </c>
      <c r="Q2183">
        <v>5</v>
      </c>
    </row>
    <row r="2184" spans="1:17" x14ac:dyDescent="0.25">
      <c r="A2184">
        <v>5</v>
      </c>
      <c r="D2184">
        <v>5</v>
      </c>
      <c r="Q2184">
        <v>5</v>
      </c>
    </row>
    <row r="2185" spans="1:17" x14ac:dyDescent="0.25">
      <c r="A2185">
        <v>5</v>
      </c>
      <c r="D2185">
        <v>6.5</v>
      </c>
      <c r="Q2185">
        <v>5</v>
      </c>
    </row>
    <row r="2186" spans="1:17" x14ac:dyDescent="0.25">
      <c r="A2186">
        <v>5</v>
      </c>
      <c r="D2186">
        <v>5</v>
      </c>
      <c r="Q2186">
        <v>5</v>
      </c>
    </row>
    <row r="2187" spans="1:17" x14ac:dyDescent="0.25">
      <c r="A2187">
        <v>5</v>
      </c>
      <c r="D2187">
        <v>5</v>
      </c>
      <c r="Q2187">
        <v>5</v>
      </c>
    </row>
    <row r="2188" spans="1:17" x14ac:dyDescent="0.25">
      <c r="A2188">
        <v>7</v>
      </c>
      <c r="D2188">
        <v>5</v>
      </c>
      <c r="Q2188">
        <v>4.75</v>
      </c>
    </row>
    <row r="2189" spans="1:17" x14ac:dyDescent="0.25">
      <c r="A2189">
        <v>5</v>
      </c>
      <c r="D2189">
        <v>5</v>
      </c>
      <c r="Q2189">
        <v>5</v>
      </c>
    </row>
    <row r="2190" spans="1:17" x14ac:dyDescent="0.25">
      <c r="A2190">
        <v>5.75</v>
      </c>
      <c r="D2190">
        <v>5</v>
      </c>
      <c r="Q2190">
        <v>5</v>
      </c>
    </row>
    <row r="2191" spans="1:17" x14ac:dyDescent="0.25">
      <c r="A2191">
        <v>6.25</v>
      </c>
      <c r="D2191">
        <v>4</v>
      </c>
      <c r="Q2191">
        <v>5</v>
      </c>
    </row>
    <row r="2192" spans="1:17" x14ac:dyDescent="0.25">
      <c r="A2192">
        <v>5</v>
      </c>
      <c r="D2192">
        <v>5.25</v>
      </c>
      <c r="Q2192">
        <v>8.25</v>
      </c>
    </row>
    <row r="2193" spans="1:17" x14ac:dyDescent="0.25">
      <c r="A2193">
        <v>3</v>
      </c>
      <c r="D2193">
        <v>5</v>
      </c>
      <c r="Q2193">
        <v>5</v>
      </c>
    </row>
    <row r="2194" spans="1:17" x14ac:dyDescent="0.25">
      <c r="A2194">
        <v>5.25</v>
      </c>
      <c r="D2194">
        <v>5</v>
      </c>
      <c r="Q2194">
        <v>5</v>
      </c>
    </row>
    <row r="2195" spans="1:17" x14ac:dyDescent="0.25">
      <c r="A2195">
        <v>5</v>
      </c>
      <c r="D2195">
        <v>2</v>
      </c>
      <c r="Q2195">
        <v>3.25</v>
      </c>
    </row>
    <row r="2196" spans="1:17" x14ac:dyDescent="0.25">
      <c r="A2196">
        <v>3.5</v>
      </c>
      <c r="D2196">
        <v>5</v>
      </c>
      <c r="Q2196">
        <v>5</v>
      </c>
    </row>
    <row r="2197" spans="1:17" x14ac:dyDescent="0.25">
      <c r="A2197">
        <v>3.5</v>
      </c>
      <c r="D2197">
        <v>4.75</v>
      </c>
      <c r="Q2197">
        <v>5</v>
      </c>
    </row>
    <row r="2198" spans="1:17" x14ac:dyDescent="0.25">
      <c r="A2198">
        <v>5.5</v>
      </c>
      <c r="D2198">
        <v>5</v>
      </c>
      <c r="Q2198">
        <v>5.25</v>
      </c>
    </row>
    <row r="2199" spans="1:17" x14ac:dyDescent="0.25">
      <c r="A2199">
        <v>3.75</v>
      </c>
      <c r="D2199">
        <v>5</v>
      </c>
      <c r="Q2199">
        <v>5</v>
      </c>
    </row>
    <row r="2200" spans="1:17" x14ac:dyDescent="0.25">
      <c r="A2200">
        <v>2.25</v>
      </c>
      <c r="D2200">
        <v>5</v>
      </c>
      <c r="Q2200">
        <v>5</v>
      </c>
    </row>
    <row r="2201" spans="1:17" x14ac:dyDescent="0.25">
      <c r="A2201">
        <v>5</v>
      </c>
      <c r="D2201">
        <v>1.75</v>
      </c>
      <c r="Q2201">
        <v>5</v>
      </c>
    </row>
    <row r="2202" spans="1:17" x14ac:dyDescent="0.25">
      <c r="A2202">
        <v>3.75</v>
      </c>
      <c r="D2202">
        <v>5</v>
      </c>
      <c r="Q2202">
        <v>5</v>
      </c>
    </row>
    <row r="2203" spans="1:17" x14ac:dyDescent="0.25">
      <c r="A2203">
        <v>5</v>
      </c>
      <c r="D2203">
        <v>5</v>
      </c>
      <c r="Q2203">
        <v>5</v>
      </c>
    </row>
    <row r="2204" spans="1:17" x14ac:dyDescent="0.25">
      <c r="A2204">
        <v>2.25</v>
      </c>
      <c r="D2204">
        <v>5.25</v>
      </c>
      <c r="Q2204">
        <v>3</v>
      </c>
    </row>
    <row r="2205" spans="1:17" x14ac:dyDescent="0.25">
      <c r="A2205">
        <v>4.25</v>
      </c>
      <c r="D2205">
        <v>5</v>
      </c>
      <c r="Q2205">
        <v>5</v>
      </c>
    </row>
    <row r="2206" spans="1:17" x14ac:dyDescent="0.25">
      <c r="A2206">
        <v>3.75</v>
      </c>
      <c r="D2206">
        <v>3.25</v>
      </c>
      <c r="Q2206">
        <v>5.25</v>
      </c>
    </row>
    <row r="2207" spans="1:17" x14ac:dyDescent="0.25">
      <c r="A2207">
        <v>5.5</v>
      </c>
      <c r="D2207">
        <v>7.5</v>
      </c>
      <c r="Q2207">
        <v>7</v>
      </c>
    </row>
    <row r="2208" spans="1:17" x14ac:dyDescent="0.25">
      <c r="A2208">
        <v>3</v>
      </c>
      <c r="D2208">
        <v>5</v>
      </c>
      <c r="Q2208">
        <v>3.25</v>
      </c>
    </row>
    <row r="2209" spans="1:17" x14ac:dyDescent="0.25">
      <c r="A2209">
        <v>5</v>
      </c>
      <c r="D2209">
        <v>1.875</v>
      </c>
      <c r="Q2209">
        <v>4.25</v>
      </c>
    </row>
    <row r="2210" spans="1:17" x14ac:dyDescent="0.25">
      <c r="A2210">
        <v>8.25</v>
      </c>
      <c r="D2210">
        <v>5.625</v>
      </c>
      <c r="Q2210">
        <v>5</v>
      </c>
    </row>
    <row r="2211" spans="1:17" x14ac:dyDescent="0.25">
      <c r="A2211">
        <v>8.25</v>
      </c>
      <c r="D2211">
        <v>7.5</v>
      </c>
      <c r="Q2211">
        <v>3.25</v>
      </c>
    </row>
    <row r="2212" spans="1:17" x14ac:dyDescent="0.25">
      <c r="A2212">
        <v>5</v>
      </c>
      <c r="D2212">
        <v>0.75</v>
      </c>
      <c r="Q2212">
        <v>5</v>
      </c>
    </row>
    <row r="2213" spans="1:17" x14ac:dyDescent="0.25">
      <c r="A2213">
        <v>7</v>
      </c>
      <c r="D2213">
        <v>7.5</v>
      </c>
      <c r="Q2213">
        <v>5</v>
      </c>
    </row>
    <row r="2214" spans="1:17" x14ac:dyDescent="0.25">
      <c r="A2214">
        <v>5.25</v>
      </c>
      <c r="D2214">
        <v>6</v>
      </c>
      <c r="Q2214">
        <v>5</v>
      </c>
    </row>
    <row r="2215" spans="1:17" x14ac:dyDescent="0.25">
      <c r="A2215">
        <v>10</v>
      </c>
      <c r="D2215">
        <v>14.25</v>
      </c>
      <c r="Q2215">
        <v>5</v>
      </c>
    </row>
    <row r="2216" spans="1:17" x14ac:dyDescent="0.25">
      <c r="A2216">
        <v>3.75</v>
      </c>
      <c r="D2216">
        <v>7.5</v>
      </c>
      <c r="Q2216">
        <v>3.25</v>
      </c>
    </row>
    <row r="2217" spans="1:17" x14ac:dyDescent="0.25">
      <c r="A2217">
        <v>1</v>
      </c>
      <c r="D2217">
        <v>2.25</v>
      </c>
      <c r="Q2217">
        <v>5</v>
      </c>
    </row>
    <row r="2218" spans="1:17" x14ac:dyDescent="0.25">
      <c r="A2218">
        <v>1.25</v>
      </c>
      <c r="D2218">
        <v>4.5</v>
      </c>
      <c r="Q2218">
        <v>5</v>
      </c>
    </row>
    <row r="2219" spans="1:17" x14ac:dyDescent="0.25">
      <c r="A2219">
        <v>4</v>
      </c>
      <c r="D2219">
        <v>7.5</v>
      </c>
      <c r="Q2219">
        <v>5</v>
      </c>
    </row>
    <row r="2220" spans="1:17" x14ac:dyDescent="0.25">
      <c r="A2220">
        <v>5</v>
      </c>
      <c r="D2220">
        <v>18</v>
      </c>
      <c r="Q2220">
        <v>5</v>
      </c>
    </row>
    <row r="2221" spans="1:17" x14ac:dyDescent="0.25">
      <c r="A2221">
        <v>4.75</v>
      </c>
      <c r="D2221">
        <v>6.375</v>
      </c>
      <c r="Q2221">
        <v>5</v>
      </c>
    </row>
    <row r="2222" spans="1:17" x14ac:dyDescent="0.25">
      <c r="A2222">
        <v>5</v>
      </c>
      <c r="D2222">
        <v>3</v>
      </c>
      <c r="Q2222">
        <v>2</v>
      </c>
    </row>
    <row r="2223" spans="1:17" x14ac:dyDescent="0.25">
      <c r="A2223">
        <v>5</v>
      </c>
      <c r="D2223">
        <v>1.5</v>
      </c>
      <c r="Q2223">
        <v>2</v>
      </c>
    </row>
    <row r="2224" spans="1:17" x14ac:dyDescent="0.25">
      <c r="A2224">
        <v>5</v>
      </c>
      <c r="D2224">
        <v>7.5</v>
      </c>
      <c r="Q2224">
        <v>3</v>
      </c>
    </row>
    <row r="2225" spans="1:17" x14ac:dyDescent="0.25">
      <c r="A2225">
        <v>4.25</v>
      </c>
      <c r="D2225">
        <v>3.375</v>
      </c>
      <c r="Q2225">
        <v>5</v>
      </c>
    </row>
    <row r="2226" spans="1:17" x14ac:dyDescent="0.25">
      <c r="A2226">
        <v>8.25</v>
      </c>
      <c r="D2226">
        <v>10.5</v>
      </c>
      <c r="Q2226">
        <v>5</v>
      </c>
    </row>
    <row r="2227" spans="1:17" x14ac:dyDescent="0.25">
      <c r="A2227">
        <v>5</v>
      </c>
      <c r="D2227">
        <v>4.875</v>
      </c>
      <c r="Q2227">
        <v>5.75</v>
      </c>
    </row>
    <row r="2228" spans="1:17" x14ac:dyDescent="0.25">
      <c r="A2228">
        <v>5</v>
      </c>
      <c r="D2228">
        <v>10</v>
      </c>
      <c r="Q2228">
        <v>5</v>
      </c>
    </row>
    <row r="2229" spans="1:17" x14ac:dyDescent="0.25">
      <c r="A2229">
        <v>5</v>
      </c>
      <c r="D2229">
        <v>1</v>
      </c>
      <c r="Q2229">
        <v>4</v>
      </c>
    </row>
    <row r="2230" spans="1:17" x14ac:dyDescent="0.25">
      <c r="A2230">
        <v>3.25</v>
      </c>
      <c r="D2230">
        <v>5</v>
      </c>
      <c r="Q2230">
        <v>7.25</v>
      </c>
    </row>
    <row r="2231" spans="1:17" x14ac:dyDescent="0.25">
      <c r="A2231">
        <v>5</v>
      </c>
      <c r="D2231">
        <v>5.625</v>
      </c>
      <c r="Q2231">
        <v>5</v>
      </c>
    </row>
    <row r="2232" spans="1:17" x14ac:dyDescent="0.25">
      <c r="A2232">
        <v>5</v>
      </c>
      <c r="D2232">
        <v>5</v>
      </c>
      <c r="Q2232">
        <v>5</v>
      </c>
    </row>
    <row r="2233" spans="1:17" x14ac:dyDescent="0.25">
      <c r="A2233">
        <v>5.25</v>
      </c>
      <c r="D2233">
        <v>4.125</v>
      </c>
      <c r="Q2233">
        <v>5.5</v>
      </c>
    </row>
    <row r="2234" spans="1:17" x14ac:dyDescent="0.25">
      <c r="A2234">
        <v>5</v>
      </c>
      <c r="D2234">
        <v>3.75</v>
      </c>
      <c r="Q2234">
        <v>5</v>
      </c>
    </row>
    <row r="2235" spans="1:17" x14ac:dyDescent="0.25">
      <c r="A2235">
        <v>5</v>
      </c>
      <c r="D2235">
        <v>5</v>
      </c>
      <c r="Q2235">
        <v>5</v>
      </c>
    </row>
    <row r="2236" spans="1:17" x14ac:dyDescent="0.25">
      <c r="A2236">
        <v>5</v>
      </c>
      <c r="D2236">
        <v>5</v>
      </c>
      <c r="Q2236">
        <v>5</v>
      </c>
    </row>
    <row r="2237" spans="1:17" x14ac:dyDescent="0.25">
      <c r="A2237">
        <v>5</v>
      </c>
      <c r="D2237">
        <v>8.625</v>
      </c>
      <c r="Q2237">
        <v>5</v>
      </c>
    </row>
    <row r="2238" spans="1:17" x14ac:dyDescent="0.25">
      <c r="A2238">
        <v>5</v>
      </c>
      <c r="D2238">
        <v>5</v>
      </c>
      <c r="Q2238">
        <v>5</v>
      </c>
    </row>
    <row r="2239" spans="1:17" x14ac:dyDescent="0.25">
      <c r="A2239">
        <v>3</v>
      </c>
      <c r="D2239">
        <v>0.75</v>
      </c>
      <c r="Q2239">
        <v>5</v>
      </c>
    </row>
    <row r="2240" spans="1:17" x14ac:dyDescent="0.25">
      <c r="A2240">
        <v>10</v>
      </c>
      <c r="D2240">
        <v>2</v>
      </c>
      <c r="Q2240">
        <v>5</v>
      </c>
    </row>
    <row r="2241" spans="1:17" x14ac:dyDescent="0.25">
      <c r="A2241">
        <v>5</v>
      </c>
      <c r="D2241">
        <v>5</v>
      </c>
      <c r="Q2241">
        <v>2.5</v>
      </c>
    </row>
    <row r="2242" spans="1:17" x14ac:dyDescent="0.25">
      <c r="A2242">
        <v>5.25</v>
      </c>
      <c r="D2242">
        <v>5</v>
      </c>
      <c r="Q2242">
        <v>5</v>
      </c>
    </row>
    <row r="2243" spans="1:17" x14ac:dyDescent="0.25">
      <c r="A2243">
        <v>7</v>
      </c>
      <c r="D2243">
        <v>10</v>
      </c>
      <c r="Q2243">
        <v>5</v>
      </c>
    </row>
    <row r="2244" spans="1:17" x14ac:dyDescent="0.25">
      <c r="A2244">
        <v>3.25</v>
      </c>
      <c r="D2244">
        <v>0.75</v>
      </c>
      <c r="Q2244">
        <v>5</v>
      </c>
    </row>
    <row r="2245" spans="1:17" x14ac:dyDescent="0.25">
      <c r="A2245">
        <v>4.25</v>
      </c>
      <c r="D2245">
        <v>4.5</v>
      </c>
      <c r="Q2245">
        <v>3</v>
      </c>
    </row>
    <row r="2246" spans="1:17" x14ac:dyDescent="0.25">
      <c r="A2246">
        <v>5</v>
      </c>
      <c r="D2246">
        <v>2.25</v>
      </c>
      <c r="Q2246">
        <v>5</v>
      </c>
    </row>
    <row r="2247" spans="1:17" x14ac:dyDescent="0.25">
      <c r="A2247">
        <v>3.25</v>
      </c>
      <c r="D2247">
        <v>0.5</v>
      </c>
      <c r="Q2247">
        <v>5</v>
      </c>
    </row>
    <row r="2248" spans="1:17" x14ac:dyDescent="0.25">
      <c r="A2248">
        <v>5</v>
      </c>
      <c r="D2248">
        <v>5</v>
      </c>
      <c r="Q2248">
        <v>5</v>
      </c>
    </row>
    <row r="2249" spans="1:17" x14ac:dyDescent="0.25">
      <c r="A2249">
        <v>5</v>
      </c>
      <c r="D2249">
        <v>4</v>
      </c>
      <c r="Q2249">
        <v>5</v>
      </c>
    </row>
    <row r="2250" spans="1:17" x14ac:dyDescent="0.25">
      <c r="A2250">
        <v>5</v>
      </c>
      <c r="D2250">
        <v>5</v>
      </c>
      <c r="Q2250">
        <v>5.25</v>
      </c>
    </row>
    <row r="2251" spans="1:17" x14ac:dyDescent="0.25">
      <c r="A2251">
        <v>5</v>
      </c>
      <c r="D2251">
        <v>3.5</v>
      </c>
      <c r="Q2251">
        <v>7.25</v>
      </c>
    </row>
    <row r="2252" spans="1:17" x14ac:dyDescent="0.25">
      <c r="A2252">
        <v>3.25</v>
      </c>
      <c r="D2252">
        <v>6.5</v>
      </c>
      <c r="Q2252">
        <v>3</v>
      </c>
    </row>
    <row r="2253" spans="1:17" x14ac:dyDescent="0.25">
      <c r="A2253">
        <v>5</v>
      </c>
      <c r="D2253">
        <v>5</v>
      </c>
      <c r="Q2253">
        <v>5</v>
      </c>
    </row>
    <row r="2254" spans="1:17" x14ac:dyDescent="0.25">
      <c r="A2254">
        <v>5</v>
      </c>
      <c r="D2254">
        <v>4</v>
      </c>
      <c r="Q2254">
        <v>5</v>
      </c>
    </row>
    <row r="2255" spans="1:17" x14ac:dyDescent="0.25">
      <c r="A2255">
        <v>10</v>
      </c>
      <c r="D2255">
        <v>10</v>
      </c>
      <c r="Q2255">
        <v>5</v>
      </c>
    </row>
    <row r="2256" spans="1:17" x14ac:dyDescent="0.25">
      <c r="A2256">
        <v>5</v>
      </c>
      <c r="D2256">
        <v>4.75</v>
      </c>
      <c r="Q2256">
        <v>5</v>
      </c>
    </row>
    <row r="2257" spans="1:17" x14ac:dyDescent="0.25">
      <c r="A2257">
        <v>5</v>
      </c>
      <c r="D2257">
        <v>1.5</v>
      </c>
      <c r="Q2257">
        <v>5</v>
      </c>
    </row>
    <row r="2258" spans="1:17" x14ac:dyDescent="0.25">
      <c r="A2258">
        <v>5</v>
      </c>
      <c r="D2258">
        <v>5</v>
      </c>
      <c r="Q2258">
        <v>6</v>
      </c>
    </row>
    <row r="2259" spans="1:17" x14ac:dyDescent="0.25">
      <c r="A2259">
        <v>1</v>
      </c>
      <c r="D2259">
        <v>3</v>
      </c>
      <c r="Q2259">
        <v>5</v>
      </c>
    </row>
    <row r="2260" spans="1:17" x14ac:dyDescent="0.25">
      <c r="A2260">
        <v>2</v>
      </c>
      <c r="D2260">
        <v>5</v>
      </c>
      <c r="Q2260">
        <v>5</v>
      </c>
    </row>
    <row r="2261" spans="1:17" x14ac:dyDescent="0.25">
      <c r="A2261">
        <v>5</v>
      </c>
      <c r="D2261">
        <v>0.75</v>
      </c>
      <c r="Q2261">
        <v>5</v>
      </c>
    </row>
    <row r="2262" spans="1:17" x14ac:dyDescent="0.25">
      <c r="A2262">
        <v>5</v>
      </c>
      <c r="D2262">
        <v>10.125</v>
      </c>
      <c r="Q2262">
        <v>5</v>
      </c>
    </row>
    <row r="2263" spans="1:17" x14ac:dyDescent="0.25">
      <c r="A2263">
        <v>5</v>
      </c>
      <c r="D2263">
        <v>3.5</v>
      </c>
      <c r="Q2263">
        <v>5.25</v>
      </c>
    </row>
    <row r="2264" spans="1:17" x14ac:dyDescent="0.25">
      <c r="A2264">
        <v>0.375</v>
      </c>
      <c r="D2264">
        <v>3.25</v>
      </c>
      <c r="Q2264">
        <v>5</v>
      </c>
    </row>
    <row r="2265" spans="1:17" x14ac:dyDescent="0.25">
      <c r="A2265">
        <v>4.5</v>
      </c>
      <c r="D2265">
        <v>5</v>
      </c>
      <c r="Q2265">
        <v>3</v>
      </c>
    </row>
    <row r="2266" spans="1:17" x14ac:dyDescent="0.25">
      <c r="A2266">
        <v>3</v>
      </c>
      <c r="D2266">
        <v>5</v>
      </c>
      <c r="Q2266">
        <v>4</v>
      </c>
    </row>
    <row r="2267" spans="1:17" x14ac:dyDescent="0.25">
      <c r="A2267">
        <v>7.5</v>
      </c>
      <c r="D2267">
        <v>4</v>
      </c>
      <c r="Q2267">
        <v>3.25</v>
      </c>
    </row>
    <row r="2268" spans="1:17" x14ac:dyDescent="0.25">
      <c r="A2268">
        <v>5</v>
      </c>
      <c r="D2268">
        <v>4</v>
      </c>
      <c r="Q2268">
        <v>6.75</v>
      </c>
    </row>
    <row r="2269" spans="1:17" x14ac:dyDescent="0.25">
      <c r="A2269">
        <v>6.375</v>
      </c>
      <c r="D2269">
        <v>5</v>
      </c>
      <c r="Q2269">
        <v>1</v>
      </c>
    </row>
    <row r="2270" spans="1:17" x14ac:dyDescent="0.25">
      <c r="A2270">
        <v>5</v>
      </c>
      <c r="D2270">
        <v>6.5</v>
      </c>
      <c r="Q2270">
        <v>5</v>
      </c>
    </row>
    <row r="2271" spans="1:17" x14ac:dyDescent="0.25">
      <c r="A2271">
        <v>7.5</v>
      </c>
      <c r="D2271">
        <v>5</v>
      </c>
      <c r="Q2271">
        <v>4.5</v>
      </c>
    </row>
    <row r="2272" spans="1:17" x14ac:dyDescent="0.25">
      <c r="A2272">
        <v>5.25</v>
      </c>
      <c r="D2272">
        <v>7.5</v>
      </c>
      <c r="Q2272">
        <v>5</v>
      </c>
    </row>
    <row r="2273" spans="1:17" x14ac:dyDescent="0.25">
      <c r="A2273">
        <v>12</v>
      </c>
      <c r="D2273">
        <v>9</v>
      </c>
      <c r="Q2273">
        <v>3.75</v>
      </c>
    </row>
    <row r="2274" spans="1:17" x14ac:dyDescent="0.25">
      <c r="A2274">
        <v>2.25</v>
      </c>
      <c r="D2274">
        <v>7.5</v>
      </c>
      <c r="Q2274">
        <v>7.25</v>
      </c>
    </row>
    <row r="2275" spans="1:17" x14ac:dyDescent="0.25">
      <c r="A2275">
        <v>7.5</v>
      </c>
      <c r="D2275">
        <v>0.375</v>
      </c>
      <c r="Q2275">
        <v>3.5</v>
      </c>
    </row>
    <row r="2276" spans="1:17" x14ac:dyDescent="0.25">
      <c r="A2276">
        <v>8.25</v>
      </c>
      <c r="D2276">
        <v>12</v>
      </c>
      <c r="Q2276">
        <v>4</v>
      </c>
    </row>
    <row r="2277" spans="1:17" x14ac:dyDescent="0.25">
      <c r="A2277">
        <v>8</v>
      </c>
      <c r="D2277">
        <v>7.5</v>
      </c>
      <c r="Q2277">
        <v>6.5</v>
      </c>
    </row>
    <row r="2278" spans="1:17" x14ac:dyDescent="0.25">
      <c r="A2278">
        <v>2</v>
      </c>
      <c r="D2278">
        <v>6</v>
      </c>
      <c r="Q2278">
        <v>0.375</v>
      </c>
    </row>
    <row r="2279" spans="1:17" x14ac:dyDescent="0.25">
      <c r="A2279">
        <v>4</v>
      </c>
      <c r="D2279">
        <v>4</v>
      </c>
      <c r="Q2279">
        <v>5</v>
      </c>
    </row>
    <row r="2280" spans="1:17" x14ac:dyDescent="0.25">
      <c r="A2280">
        <v>8.625</v>
      </c>
      <c r="D2280">
        <v>7.5</v>
      </c>
      <c r="Q2280">
        <v>5</v>
      </c>
    </row>
    <row r="2281" spans="1:17" x14ac:dyDescent="0.25">
      <c r="A2281">
        <v>3.5</v>
      </c>
      <c r="D2281">
        <v>7.5</v>
      </c>
      <c r="Q2281">
        <v>5</v>
      </c>
    </row>
    <row r="2282" spans="1:17" x14ac:dyDescent="0.25">
      <c r="A2282">
        <v>1</v>
      </c>
      <c r="D2282">
        <v>10.5</v>
      </c>
      <c r="Q2282">
        <v>5</v>
      </c>
    </row>
    <row r="2283" spans="1:17" x14ac:dyDescent="0.25">
      <c r="A2283">
        <v>4</v>
      </c>
      <c r="D2283">
        <v>2.25</v>
      </c>
      <c r="Q2283">
        <v>0.75</v>
      </c>
    </row>
    <row r="2284" spans="1:17" x14ac:dyDescent="0.25">
      <c r="A2284">
        <v>3</v>
      </c>
      <c r="D2284">
        <v>6</v>
      </c>
      <c r="Q2284">
        <v>5</v>
      </c>
    </row>
    <row r="2285" spans="1:17" x14ac:dyDescent="0.25">
      <c r="A2285">
        <v>3.75</v>
      </c>
      <c r="D2285">
        <v>7.5</v>
      </c>
      <c r="Q2285">
        <v>3</v>
      </c>
    </row>
    <row r="2286" spans="1:17" x14ac:dyDescent="0.25">
      <c r="A2286">
        <v>3.5</v>
      </c>
      <c r="D2286">
        <v>7.875</v>
      </c>
      <c r="Q2286">
        <v>0.75</v>
      </c>
    </row>
    <row r="2287" spans="1:17" x14ac:dyDescent="0.25">
      <c r="A2287">
        <v>5</v>
      </c>
      <c r="D2287">
        <v>7.5</v>
      </c>
      <c r="Q2287">
        <v>5</v>
      </c>
    </row>
    <row r="2288" spans="1:17" x14ac:dyDescent="0.25">
      <c r="A2288">
        <v>5</v>
      </c>
      <c r="D2288">
        <v>7.5</v>
      </c>
      <c r="Q2288">
        <v>4.5</v>
      </c>
    </row>
    <row r="2289" spans="1:17" x14ac:dyDescent="0.25">
      <c r="A2289">
        <v>10.125</v>
      </c>
      <c r="D2289">
        <v>12</v>
      </c>
      <c r="Q2289">
        <v>5</v>
      </c>
    </row>
    <row r="2290" spans="1:17" x14ac:dyDescent="0.25">
      <c r="A2290">
        <v>5</v>
      </c>
      <c r="D2290">
        <v>8.25</v>
      </c>
      <c r="Q2290">
        <v>5</v>
      </c>
    </row>
    <row r="2291" spans="1:17" x14ac:dyDescent="0.25">
      <c r="A2291">
        <v>3</v>
      </c>
      <c r="D2291">
        <v>7.5</v>
      </c>
      <c r="Q2291">
        <v>5.25</v>
      </c>
    </row>
    <row r="2292" spans="1:17" x14ac:dyDescent="0.25">
      <c r="A2292">
        <v>5</v>
      </c>
      <c r="D2292">
        <v>10.5</v>
      </c>
      <c r="Q2292">
        <v>3</v>
      </c>
    </row>
    <row r="2293" spans="1:17" x14ac:dyDescent="0.25">
      <c r="A2293">
        <v>5</v>
      </c>
      <c r="D2293">
        <v>0.75</v>
      </c>
      <c r="Q2293">
        <v>3.5</v>
      </c>
    </row>
    <row r="2294" spans="1:17" x14ac:dyDescent="0.25">
      <c r="A2294">
        <v>9</v>
      </c>
      <c r="D2294">
        <v>7.5</v>
      </c>
      <c r="Q2294">
        <v>5</v>
      </c>
    </row>
    <row r="2295" spans="1:17" x14ac:dyDescent="0.25">
      <c r="A2295">
        <v>1</v>
      </c>
      <c r="D2295">
        <v>7.5</v>
      </c>
      <c r="Q2295">
        <v>5</v>
      </c>
    </row>
    <row r="2296" spans="1:17" x14ac:dyDescent="0.25">
      <c r="A2296">
        <v>4</v>
      </c>
      <c r="D2296">
        <v>7.5</v>
      </c>
      <c r="Q2296">
        <v>3.5</v>
      </c>
    </row>
    <row r="2297" spans="1:17" x14ac:dyDescent="0.25">
      <c r="A2297">
        <v>3</v>
      </c>
      <c r="D2297">
        <v>12</v>
      </c>
      <c r="Q2297">
        <v>0.75</v>
      </c>
    </row>
    <row r="2298" spans="1:17" x14ac:dyDescent="0.25">
      <c r="A2298">
        <v>5</v>
      </c>
      <c r="D2298">
        <v>12</v>
      </c>
      <c r="Q2298">
        <v>2.625</v>
      </c>
    </row>
    <row r="2299" spans="1:17" x14ac:dyDescent="0.25">
      <c r="A2299">
        <v>4.25</v>
      </c>
      <c r="D2299">
        <v>7.875</v>
      </c>
      <c r="Q2299">
        <v>5</v>
      </c>
    </row>
    <row r="2300" spans="1:17" x14ac:dyDescent="0.25">
      <c r="A2300">
        <v>0.25</v>
      </c>
      <c r="D2300">
        <v>0.75</v>
      </c>
      <c r="Q2300">
        <v>1.5</v>
      </c>
    </row>
    <row r="2301" spans="1:17" x14ac:dyDescent="0.25">
      <c r="A2301">
        <v>7.5</v>
      </c>
      <c r="D2301">
        <v>7.875</v>
      </c>
      <c r="Q2301">
        <v>3</v>
      </c>
    </row>
    <row r="2302" spans="1:17" x14ac:dyDescent="0.25">
      <c r="A2302">
        <v>7.5</v>
      </c>
      <c r="D2302">
        <v>7.125</v>
      </c>
      <c r="Q2302">
        <v>5</v>
      </c>
    </row>
    <row r="2303" spans="1:17" x14ac:dyDescent="0.25">
      <c r="A2303">
        <v>7.5</v>
      </c>
      <c r="D2303">
        <v>11.25</v>
      </c>
      <c r="Q2303">
        <v>3.75</v>
      </c>
    </row>
    <row r="2304" spans="1:17" x14ac:dyDescent="0.25">
      <c r="A2304">
        <v>6.75</v>
      </c>
      <c r="D2304">
        <v>7.5</v>
      </c>
      <c r="Q2304">
        <v>5</v>
      </c>
    </row>
    <row r="2305" spans="1:17" x14ac:dyDescent="0.25">
      <c r="A2305">
        <v>7.5</v>
      </c>
      <c r="D2305">
        <v>7.5</v>
      </c>
      <c r="Q2305">
        <v>0.375</v>
      </c>
    </row>
    <row r="2306" spans="1:17" x14ac:dyDescent="0.25">
      <c r="A2306">
        <v>5</v>
      </c>
      <c r="D2306">
        <v>7.5</v>
      </c>
      <c r="Q2306">
        <v>5</v>
      </c>
    </row>
    <row r="2307" spans="1:17" x14ac:dyDescent="0.25">
      <c r="A2307">
        <v>6</v>
      </c>
      <c r="D2307">
        <v>12</v>
      </c>
      <c r="Q2307">
        <v>3.75</v>
      </c>
    </row>
    <row r="2308" spans="1:17" x14ac:dyDescent="0.25">
      <c r="A2308">
        <v>7.5</v>
      </c>
      <c r="D2308">
        <v>7.5</v>
      </c>
      <c r="Q2308">
        <v>2.5</v>
      </c>
    </row>
    <row r="2309" spans="1:17" x14ac:dyDescent="0.25">
      <c r="A2309">
        <v>5</v>
      </c>
      <c r="D2309">
        <v>8.625</v>
      </c>
      <c r="Q2309">
        <v>1.75</v>
      </c>
    </row>
    <row r="2310" spans="1:17" x14ac:dyDescent="0.25">
      <c r="A2310">
        <v>0.5</v>
      </c>
      <c r="D2310">
        <v>12</v>
      </c>
      <c r="Q2310">
        <v>5</v>
      </c>
    </row>
    <row r="2311" spans="1:17" x14ac:dyDescent="0.25">
      <c r="A2311">
        <v>7.125</v>
      </c>
      <c r="D2311">
        <v>7.5</v>
      </c>
      <c r="Q2311">
        <v>5</v>
      </c>
    </row>
    <row r="2312" spans="1:17" x14ac:dyDescent="0.25">
      <c r="A2312">
        <v>7.25</v>
      </c>
      <c r="D2312">
        <v>12</v>
      </c>
      <c r="Q2312">
        <v>5</v>
      </c>
    </row>
    <row r="2313" spans="1:17" x14ac:dyDescent="0.25">
      <c r="A2313">
        <v>10.875</v>
      </c>
      <c r="D2313">
        <v>7.5</v>
      </c>
      <c r="Q2313">
        <v>4.5</v>
      </c>
    </row>
    <row r="2314" spans="1:17" x14ac:dyDescent="0.25">
      <c r="A2314">
        <v>7.5</v>
      </c>
      <c r="D2314">
        <v>8.625</v>
      </c>
      <c r="Q2314">
        <v>5</v>
      </c>
    </row>
    <row r="2315" spans="1:17" x14ac:dyDescent="0.25">
      <c r="A2315">
        <v>7.125</v>
      </c>
      <c r="D2315">
        <v>8.25</v>
      </c>
      <c r="Q2315">
        <v>3.5</v>
      </c>
    </row>
    <row r="2316" spans="1:17" x14ac:dyDescent="0.25">
      <c r="A2316">
        <v>7.5</v>
      </c>
      <c r="D2316">
        <v>6</v>
      </c>
      <c r="Q2316">
        <v>5</v>
      </c>
    </row>
    <row r="2317" spans="1:17" x14ac:dyDescent="0.25">
      <c r="A2317">
        <v>5</v>
      </c>
      <c r="D2317">
        <v>7.5</v>
      </c>
      <c r="Q2317">
        <v>4.5</v>
      </c>
    </row>
    <row r="2318" spans="1:17" x14ac:dyDescent="0.25">
      <c r="A2318">
        <v>1</v>
      </c>
      <c r="D2318">
        <v>5</v>
      </c>
      <c r="Q2318">
        <v>2.25</v>
      </c>
    </row>
    <row r="2319" spans="1:17" x14ac:dyDescent="0.25">
      <c r="A2319">
        <v>4.5</v>
      </c>
      <c r="D2319">
        <v>6</v>
      </c>
      <c r="Q2319">
        <v>5</v>
      </c>
    </row>
    <row r="2320" spans="1:17" x14ac:dyDescent="0.25">
      <c r="A2320">
        <v>4.5</v>
      </c>
      <c r="D2320">
        <v>5</v>
      </c>
      <c r="Q2320">
        <v>0.375</v>
      </c>
    </row>
    <row r="2321" spans="1:17" x14ac:dyDescent="0.25">
      <c r="A2321">
        <v>1.75</v>
      </c>
      <c r="D2321">
        <v>7.5</v>
      </c>
      <c r="Q2321">
        <v>5</v>
      </c>
    </row>
    <row r="2322" spans="1:17" x14ac:dyDescent="0.25">
      <c r="A2322">
        <v>5</v>
      </c>
      <c r="D2322">
        <v>7.5</v>
      </c>
      <c r="Q2322">
        <v>4.5</v>
      </c>
    </row>
    <row r="2323" spans="1:17" x14ac:dyDescent="0.25">
      <c r="A2323">
        <v>5</v>
      </c>
      <c r="D2323">
        <v>11.25</v>
      </c>
      <c r="Q2323">
        <v>5</v>
      </c>
    </row>
    <row r="2324" spans="1:17" x14ac:dyDescent="0.25">
      <c r="A2324">
        <v>5</v>
      </c>
      <c r="D2324">
        <v>10.875</v>
      </c>
      <c r="Q2324">
        <v>8.625</v>
      </c>
    </row>
    <row r="2325" spans="1:17" x14ac:dyDescent="0.25">
      <c r="A2325">
        <v>3</v>
      </c>
      <c r="D2325">
        <v>7.5</v>
      </c>
      <c r="Q2325">
        <v>5</v>
      </c>
    </row>
    <row r="2326" spans="1:17" x14ac:dyDescent="0.25">
      <c r="A2326">
        <v>7.5</v>
      </c>
      <c r="D2326">
        <v>7.5</v>
      </c>
      <c r="Q2326">
        <v>5</v>
      </c>
    </row>
    <row r="2327" spans="1:17" x14ac:dyDescent="0.25">
      <c r="A2327">
        <v>5</v>
      </c>
      <c r="D2327">
        <v>6</v>
      </c>
      <c r="Q2327">
        <v>1.5</v>
      </c>
    </row>
    <row r="2328" spans="1:17" x14ac:dyDescent="0.25">
      <c r="A2328">
        <v>1.5</v>
      </c>
      <c r="D2328">
        <v>6</v>
      </c>
      <c r="Q2328">
        <v>4</v>
      </c>
    </row>
    <row r="2329" spans="1:17" x14ac:dyDescent="0.25">
      <c r="A2329">
        <v>1.25</v>
      </c>
      <c r="D2329">
        <v>1.125</v>
      </c>
      <c r="Q2329">
        <v>5</v>
      </c>
    </row>
    <row r="2330" spans="1:17" x14ac:dyDescent="0.25">
      <c r="A2330">
        <v>5</v>
      </c>
      <c r="D2330">
        <v>7.5</v>
      </c>
      <c r="Q2330">
        <v>5</v>
      </c>
    </row>
    <row r="2331" spans="1:17" x14ac:dyDescent="0.25">
      <c r="A2331">
        <v>1.875</v>
      </c>
      <c r="D2331">
        <v>12</v>
      </c>
      <c r="Q2331">
        <v>2.25</v>
      </c>
    </row>
    <row r="2332" spans="1:17" x14ac:dyDescent="0.25">
      <c r="A2332">
        <v>5</v>
      </c>
      <c r="D2332">
        <v>7.5</v>
      </c>
      <c r="Q2332">
        <v>1.25</v>
      </c>
    </row>
    <row r="2333" spans="1:17" x14ac:dyDescent="0.25">
      <c r="A2333">
        <v>8.625</v>
      </c>
      <c r="D2333">
        <v>7.5</v>
      </c>
      <c r="Q2333">
        <v>5</v>
      </c>
    </row>
    <row r="2334" spans="1:17" x14ac:dyDescent="0.25">
      <c r="A2334">
        <v>5</v>
      </c>
      <c r="D2334">
        <v>1.875</v>
      </c>
      <c r="Q2334">
        <v>4</v>
      </c>
    </row>
    <row r="2335" spans="1:17" x14ac:dyDescent="0.25">
      <c r="A2335">
        <v>9</v>
      </c>
      <c r="D2335">
        <v>7.5</v>
      </c>
      <c r="Q2335">
        <v>5</v>
      </c>
    </row>
    <row r="2336" spans="1:17" x14ac:dyDescent="0.25">
      <c r="A2336">
        <v>7.875</v>
      </c>
      <c r="D2336">
        <v>6</v>
      </c>
      <c r="Q2336">
        <v>5</v>
      </c>
    </row>
    <row r="2337" spans="1:17" x14ac:dyDescent="0.25">
      <c r="A2337">
        <v>7.5</v>
      </c>
      <c r="D2337">
        <v>7.5</v>
      </c>
      <c r="Q2337">
        <v>1.5</v>
      </c>
    </row>
    <row r="2338" spans="1:17" x14ac:dyDescent="0.25">
      <c r="A2338">
        <v>7.5</v>
      </c>
      <c r="Q2338">
        <v>4.25</v>
      </c>
    </row>
    <row r="2339" spans="1:17" x14ac:dyDescent="0.25">
      <c r="A2339">
        <v>5</v>
      </c>
      <c r="Q2339">
        <v>5</v>
      </c>
    </row>
    <row r="2340" spans="1:17" x14ac:dyDescent="0.25">
      <c r="A2340">
        <v>6</v>
      </c>
      <c r="Q2340">
        <v>5</v>
      </c>
    </row>
    <row r="2341" spans="1:17" x14ac:dyDescent="0.25">
      <c r="A2341">
        <v>1.5</v>
      </c>
      <c r="Q2341">
        <v>1</v>
      </c>
    </row>
    <row r="2342" spans="1:17" x14ac:dyDescent="0.25">
      <c r="A2342">
        <v>1.5</v>
      </c>
      <c r="Q2342">
        <v>5</v>
      </c>
    </row>
    <row r="2343" spans="1:17" x14ac:dyDescent="0.25">
      <c r="A2343">
        <v>1.875</v>
      </c>
      <c r="Q2343">
        <v>0.375</v>
      </c>
    </row>
    <row r="2344" spans="1:17" x14ac:dyDescent="0.25">
      <c r="A2344">
        <v>7.5</v>
      </c>
      <c r="Q2344">
        <v>3</v>
      </c>
    </row>
    <row r="2345" spans="1:17" x14ac:dyDescent="0.25">
      <c r="A2345">
        <v>7.5</v>
      </c>
      <c r="Q2345">
        <v>2.75</v>
      </c>
    </row>
    <row r="2346" spans="1:17" x14ac:dyDescent="0.25">
      <c r="A2346">
        <v>7.5</v>
      </c>
      <c r="Q2346">
        <v>5</v>
      </c>
    </row>
    <row r="2347" spans="1:17" x14ac:dyDescent="0.25">
      <c r="A2347">
        <v>7.875</v>
      </c>
      <c r="Q2347">
        <v>5</v>
      </c>
    </row>
    <row r="2348" spans="1:17" x14ac:dyDescent="0.25">
      <c r="A2348">
        <v>0.25</v>
      </c>
      <c r="Q2348">
        <v>5.5</v>
      </c>
    </row>
    <row r="2349" spans="1:17" x14ac:dyDescent="0.25">
      <c r="A2349">
        <v>7.5</v>
      </c>
      <c r="Q2349">
        <v>5</v>
      </c>
    </row>
    <row r="2350" spans="1:17" x14ac:dyDescent="0.25">
      <c r="A2350">
        <v>7.5</v>
      </c>
      <c r="Q2350">
        <v>5.25</v>
      </c>
    </row>
    <row r="2351" spans="1:17" x14ac:dyDescent="0.25">
      <c r="A2351">
        <v>7.5</v>
      </c>
      <c r="Q2351">
        <v>5</v>
      </c>
    </row>
    <row r="2352" spans="1:17" x14ac:dyDescent="0.25">
      <c r="A2352">
        <v>1.5</v>
      </c>
      <c r="Q2352">
        <v>3.25</v>
      </c>
    </row>
    <row r="2353" spans="1:17" x14ac:dyDescent="0.25">
      <c r="A2353">
        <v>1.25</v>
      </c>
      <c r="Q2353">
        <v>5.25</v>
      </c>
    </row>
    <row r="2354" spans="1:17" x14ac:dyDescent="0.25">
      <c r="A2354">
        <v>5</v>
      </c>
      <c r="Q2354">
        <v>0.5</v>
      </c>
    </row>
    <row r="2355" spans="1:17" x14ac:dyDescent="0.25">
      <c r="A2355">
        <v>5</v>
      </c>
      <c r="Q2355">
        <v>7.25</v>
      </c>
    </row>
    <row r="2356" spans="1:17" x14ac:dyDescent="0.25">
      <c r="A2356">
        <v>3</v>
      </c>
      <c r="Q2356">
        <v>5</v>
      </c>
    </row>
    <row r="2357" spans="1:17" x14ac:dyDescent="0.25">
      <c r="A2357">
        <v>7.5</v>
      </c>
      <c r="Q2357">
        <v>3.75</v>
      </c>
    </row>
    <row r="2358" spans="1:17" x14ac:dyDescent="0.25">
      <c r="A2358">
        <v>1.5</v>
      </c>
      <c r="Q2358">
        <v>3.5</v>
      </c>
    </row>
    <row r="2359" spans="1:17" x14ac:dyDescent="0.25">
      <c r="A2359">
        <v>1.5</v>
      </c>
      <c r="Q2359">
        <v>5</v>
      </c>
    </row>
    <row r="2360" spans="1:17" x14ac:dyDescent="0.25">
      <c r="A2360">
        <v>8.25</v>
      </c>
      <c r="Q2360">
        <v>3</v>
      </c>
    </row>
    <row r="2361" spans="1:17" x14ac:dyDescent="0.25">
      <c r="A2361">
        <v>1</v>
      </c>
      <c r="Q2361">
        <v>5.625</v>
      </c>
    </row>
    <row r="2362" spans="1:17" x14ac:dyDescent="0.25">
      <c r="A2362">
        <v>10</v>
      </c>
      <c r="Q2362">
        <v>3.5</v>
      </c>
    </row>
    <row r="2363" spans="1:17" x14ac:dyDescent="0.25">
      <c r="A2363">
        <v>3</v>
      </c>
      <c r="Q2363">
        <v>5</v>
      </c>
    </row>
    <row r="2364" spans="1:17" x14ac:dyDescent="0.25">
      <c r="A2364">
        <v>5</v>
      </c>
      <c r="Q2364">
        <v>5</v>
      </c>
    </row>
    <row r="2365" spans="1:17" x14ac:dyDescent="0.25">
      <c r="A2365">
        <v>1.5</v>
      </c>
      <c r="Q2365">
        <v>6.75</v>
      </c>
    </row>
    <row r="2366" spans="1:17" x14ac:dyDescent="0.25">
      <c r="A2366">
        <v>5</v>
      </c>
      <c r="Q2366">
        <v>5</v>
      </c>
    </row>
    <row r="2367" spans="1:17" x14ac:dyDescent="0.25">
      <c r="A2367">
        <v>5</v>
      </c>
      <c r="Q2367">
        <v>4.75</v>
      </c>
    </row>
    <row r="2368" spans="1:17" x14ac:dyDescent="0.25">
      <c r="A2368">
        <v>5</v>
      </c>
      <c r="Q2368">
        <v>4.75</v>
      </c>
    </row>
    <row r="2369" spans="1:17" x14ac:dyDescent="0.25">
      <c r="A2369">
        <v>0.75</v>
      </c>
      <c r="Q2369">
        <v>4</v>
      </c>
    </row>
    <row r="2370" spans="1:17" x14ac:dyDescent="0.25">
      <c r="A2370">
        <v>5</v>
      </c>
      <c r="Q2370">
        <v>5</v>
      </c>
    </row>
    <row r="2371" spans="1:17" x14ac:dyDescent="0.25">
      <c r="A2371">
        <v>7.5</v>
      </c>
      <c r="Q2371">
        <v>4.5</v>
      </c>
    </row>
    <row r="2372" spans="1:17" x14ac:dyDescent="0.25">
      <c r="A2372">
        <v>7.5</v>
      </c>
      <c r="Q2372">
        <v>3</v>
      </c>
    </row>
    <row r="2373" spans="1:17" x14ac:dyDescent="0.25">
      <c r="A2373">
        <v>5</v>
      </c>
      <c r="Q2373">
        <v>1.25</v>
      </c>
    </row>
    <row r="2374" spans="1:17" x14ac:dyDescent="0.25">
      <c r="A2374">
        <v>8.25</v>
      </c>
      <c r="Q2374">
        <v>5</v>
      </c>
    </row>
    <row r="2375" spans="1:17" x14ac:dyDescent="0.25">
      <c r="A2375">
        <v>10.875</v>
      </c>
      <c r="Q2375">
        <v>5</v>
      </c>
    </row>
    <row r="2376" spans="1:17" x14ac:dyDescent="0.25">
      <c r="A2376">
        <v>1.125</v>
      </c>
      <c r="Q2376">
        <v>5</v>
      </c>
    </row>
    <row r="2377" spans="1:17" x14ac:dyDescent="0.25">
      <c r="A2377">
        <v>6</v>
      </c>
      <c r="Q2377">
        <v>5</v>
      </c>
    </row>
    <row r="2378" spans="1:17" x14ac:dyDescent="0.25">
      <c r="A2378">
        <v>12</v>
      </c>
      <c r="Q2378">
        <v>5.25</v>
      </c>
    </row>
    <row r="2379" spans="1:17" x14ac:dyDescent="0.25">
      <c r="A2379">
        <v>5</v>
      </c>
      <c r="Q2379">
        <v>5</v>
      </c>
    </row>
    <row r="2380" spans="1:17" x14ac:dyDescent="0.25">
      <c r="A2380">
        <v>2.75</v>
      </c>
      <c r="Q2380">
        <v>5</v>
      </c>
    </row>
    <row r="2381" spans="1:17" x14ac:dyDescent="0.25">
      <c r="A2381">
        <v>10.5</v>
      </c>
      <c r="Q2381">
        <v>5</v>
      </c>
    </row>
    <row r="2382" spans="1:17" x14ac:dyDescent="0.25">
      <c r="A2382">
        <v>10.125</v>
      </c>
      <c r="Q2382">
        <v>5</v>
      </c>
    </row>
    <row r="2383" spans="1:17" x14ac:dyDescent="0.25">
      <c r="A2383">
        <v>4</v>
      </c>
      <c r="Q2383">
        <v>5</v>
      </c>
    </row>
    <row r="2384" spans="1:17" x14ac:dyDescent="0.25">
      <c r="A2384">
        <v>7.5</v>
      </c>
      <c r="Q2384">
        <v>5</v>
      </c>
    </row>
    <row r="2385" spans="1:17" x14ac:dyDescent="0.25">
      <c r="A2385">
        <v>7.5</v>
      </c>
      <c r="Q2385">
        <v>5</v>
      </c>
    </row>
    <row r="2386" spans="1:17" x14ac:dyDescent="0.25">
      <c r="A2386">
        <v>5</v>
      </c>
      <c r="Q2386">
        <v>2.5</v>
      </c>
    </row>
    <row r="2387" spans="1:17" x14ac:dyDescent="0.25">
      <c r="A2387">
        <v>7.5</v>
      </c>
      <c r="Q2387">
        <v>5</v>
      </c>
    </row>
    <row r="2388" spans="1:17" x14ac:dyDescent="0.25">
      <c r="A2388">
        <v>3.375</v>
      </c>
      <c r="Q2388">
        <v>5</v>
      </c>
    </row>
    <row r="2389" spans="1:17" x14ac:dyDescent="0.25">
      <c r="A2389">
        <v>1.25</v>
      </c>
      <c r="Q2389">
        <v>5</v>
      </c>
    </row>
    <row r="2390" spans="1:17" x14ac:dyDescent="0.25">
      <c r="A2390">
        <v>3</v>
      </c>
      <c r="Q2390">
        <v>5.25</v>
      </c>
    </row>
    <row r="2391" spans="1:17" x14ac:dyDescent="0.25">
      <c r="A2391">
        <v>9</v>
      </c>
      <c r="Q2391">
        <v>5</v>
      </c>
    </row>
    <row r="2392" spans="1:17" x14ac:dyDescent="0.25">
      <c r="A2392">
        <v>5</v>
      </c>
      <c r="Q2392">
        <v>5.25</v>
      </c>
    </row>
    <row r="2393" spans="1:17" x14ac:dyDescent="0.25">
      <c r="A2393">
        <v>3.75</v>
      </c>
      <c r="Q2393">
        <v>5</v>
      </c>
    </row>
    <row r="2394" spans="1:17" x14ac:dyDescent="0.25">
      <c r="A2394">
        <v>10</v>
      </c>
      <c r="Q2394">
        <v>1.5</v>
      </c>
    </row>
    <row r="2395" spans="1:17" x14ac:dyDescent="0.25">
      <c r="A2395">
        <v>5</v>
      </c>
      <c r="Q2395">
        <v>4</v>
      </c>
    </row>
    <row r="2396" spans="1:17" x14ac:dyDescent="0.25">
      <c r="A2396">
        <v>10</v>
      </c>
      <c r="Q2396">
        <v>4</v>
      </c>
    </row>
    <row r="2397" spans="1:17" x14ac:dyDescent="0.25">
      <c r="A2397">
        <v>5</v>
      </c>
      <c r="Q2397">
        <v>5</v>
      </c>
    </row>
    <row r="2398" spans="1:17" x14ac:dyDescent="0.25">
      <c r="A2398">
        <v>5</v>
      </c>
      <c r="Q2398">
        <v>5</v>
      </c>
    </row>
    <row r="2399" spans="1:17" x14ac:dyDescent="0.25">
      <c r="A2399">
        <v>5</v>
      </c>
      <c r="Q2399">
        <v>5</v>
      </c>
    </row>
    <row r="2400" spans="1:17" x14ac:dyDescent="0.25">
      <c r="A2400">
        <v>2.625</v>
      </c>
      <c r="Q2400">
        <v>5</v>
      </c>
    </row>
    <row r="2401" spans="1:17" x14ac:dyDescent="0.25">
      <c r="A2401">
        <v>5</v>
      </c>
      <c r="Q2401">
        <v>4.25</v>
      </c>
    </row>
    <row r="2402" spans="1:17" x14ac:dyDescent="0.25">
      <c r="A2402">
        <v>1.5</v>
      </c>
      <c r="Q2402">
        <v>2.5</v>
      </c>
    </row>
    <row r="2403" spans="1:17" x14ac:dyDescent="0.25">
      <c r="A2403">
        <v>5</v>
      </c>
      <c r="Q2403">
        <v>5</v>
      </c>
    </row>
    <row r="2404" spans="1:17" x14ac:dyDescent="0.25">
      <c r="A2404">
        <v>5</v>
      </c>
      <c r="Q2404">
        <v>5</v>
      </c>
    </row>
    <row r="2405" spans="1:17" x14ac:dyDescent="0.25">
      <c r="A2405">
        <v>5</v>
      </c>
      <c r="Q2405">
        <v>5</v>
      </c>
    </row>
    <row r="2406" spans="1:17" x14ac:dyDescent="0.25">
      <c r="A2406">
        <v>3.75</v>
      </c>
      <c r="Q2406">
        <v>3.25</v>
      </c>
    </row>
    <row r="2407" spans="1:17" x14ac:dyDescent="0.25">
      <c r="A2407">
        <v>4.5</v>
      </c>
      <c r="Q2407">
        <v>5</v>
      </c>
    </row>
    <row r="2408" spans="1:17" x14ac:dyDescent="0.25">
      <c r="A2408">
        <v>7.5</v>
      </c>
      <c r="Q2408">
        <v>5.25</v>
      </c>
    </row>
    <row r="2409" spans="1:17" x14ac:dyDescent="0.25">
      <c r="A2409">
        <v>11.625</v>
      </c>
      <c r="Q2409">
        <v>5</v>
      </c>
    </row>
    <row r="2410" spans="1:17" x14ac:dyDescent="0.25">
      <c r="A2410">
        <v>6.75</v>
      </c>
      <c r="Q2410">
        <v>5</v>
      </c>
    </row>
    <row r="2411" spans="1:17" x14ac:dyDescent="0.25">
      <c r="A2411">
        <v>0.5</v>
      </c>
      <c r="Q2411">
        <v>5</v>
      </c>
    </row>
    <row r="2412" spans="1:17" x14ac:dyDescent="0.25">
      <c r="A2412">
        <v>7.5</v>
      </c>
      <c r="Q2412">
        <v>2</v>
      </c>
    </row>
    <row r="2413" spans="1:17" x14ac:dyDescent="0.25">
      <c r="A2413">
        <v>7.5</v>
      </c>
      <c r="Q2413">
        <v>5</v>
      </c>
    </row>
    <row r="2414" spans="1:17" x14ac:dyDescent="0.25">
      <c r="A2414">
        <v>7.5</v>
      </c>
      <c r="Q2414">
        <v>5</v>
      </c>
    </row>
    <row r="2415" spans="1:17" x14ac:dyDescent="0.25">
      <c r="A2415">
        <v>9.75</v>
      </c>
      <c r="Q2415">
        <v>5</v>
      </c>
    </row>
    <row r="2416" spans="1:17" x14ac:dyDescent="0.25">
      <c r="A2416">
        <v>7.5</v>
      </c>
      <c r="Q2416">
        <v>5</v>
      </c>
    </row>
    <row r="2417" spans="1:17" x14ac:dyDescent="0.25">
      <c r="A2417">
        <v>10.5</v>
      </c>
      <c r="Q2417">
        <v>5</v>
      </c>
    </row>
    <row r="2418" spans="1:17" x14ac:dyDescent="0.25">
      <c r="A2418">
        <v>7.5</v>
      </c>
      <c r="Q2418">
        <v>5.25</v>
      </c>
    </row>
    <row r="2419" spans="1:17" x14ac:dyDescent="0.25">
      <c r="A2419">
        <v>7.5</v>
      </c>
      <c r="Q2419">
        <v>3</v>
      </c>
    </row>
    <row r="2420" spans="1:17" x14ac:dyDescent="0.25">
      <c r="A2420">
        <v>7.5</v>
      </c>
      <c r="Q2420">
        <v>5</v>
      </c>
    </row>
    <row r="2421" spans="1:17" x14ac:dyDescent="0.25">
      <c r="A2421">
        <v>5.5</v>
      </c>
      <c r="Q2421">
        <v>5</v>
      </c>
    </row>
    <row r="2422" spans="1:17" x14ac:dyDescent="0.25">
      <c r="A2422">
        <v>6.375</v>
      </c>
      <c r="Q2422">
        <v>5</v>
      </c>
    </row>
    <row r="2423" spans="1:17" x14ac:dyDescent="0.25">
      <c r="A2423">
        <v>3.375</v>
      </c>
      <c r="Q2423">
        <v>3</v>
      </c>
    </row>
    <row r="2424" spans="1:17" x14ac:dyDescent="0.25">
      <c r="A2424">
        <v>5</v>
      </c>
      <c r="Q2424">
        <v>5</v>
      </c>
    </row>
    <row r="2425" spans="1:17" x14ac:dyDescent="0.25">
      <c r="A2425">
        <v>1.125</v>
      </c>
      <c r="Q2425">
        <v>5</v>
      </c>
    </row>
    <row r="2426" spans="1:17" x14ac:dyDescent="0.25">
      <c r="A2426">
        <v>5</v>
      </c>
      <c r="Q2426">
        <v>5.5</v>
      </c>
    </row>
    <row r="2427" spans="1:17" x14ac:dyDescent="0.25">
      <c r="A2427">
        <v>5</v>
      </c>
      <c r="Q2427">
        <v>5</v>
      </c>
    </row>
    <row r="2428" spans="1:17" x14ac:dyDescent="0.25">
      <c r="A2428">
        <v>5</v>
      </c>
      <c r="Q2428">
        <v>5</v>
      </c>
    </row>
    <row r="2429" spans="1:17" x14ac:dyDescent="0.25">
      <c r="A2429">
        <v>6.75</v>
      </c>
      <c r="Q2429">
        <v>5</v>
      </c>
    </row>
    <row r="2430" spans="1:17" x14ac:dyDescent="0.25">
      <c r="A2430">
        <v>3.75</v>
      </c>
      <c r="Q2430">
        <v>3</v>
      </c>
    </row>
    <row r="2431" spans="1:17" x14ac:dyDescent="0.25">
      <c r="A2431">
        <v>7.5</v>
      </c>
      <c r="Q2431">
        <v>5</v>
      </c>
    </row>
    <row r="2432" spans="1:17" x14ac:dyDescent="0.25">
      <c r="A2432">
        <v>5.625</v>
      </c>
      <c r="Q2432">
        <v>5</v>
      </c>
    </row>
    <row r="2433" spans="1:17" x14ac:dyDescent="0.25">
      <c r="A2433">
        <v>5</v>
      </c>
      <c r="Q2433">
        <v>1</v>
      </c>
    </row>
    <row r="2434" spans="1:17" x14ac:dyDescent="0.25">
      <c r="A2434">
        <v>8.25</v>
      </c>
      <c r="Q2434">
        <v>1</v>
      </c>
    </row>
    <row r="2435" spans="1:17" x14ac:dyDescent="0.25">
      <c r="A2435">
        <v>5</v>
      </c>
      <c r="Q2435">
        <v>5</v>
      </c>
    </row>
    <row r="2436" spans="1:17" x14ac:dyDescent="0.25">
      <c r="A2436">
        <v>5</v>
      </c>
      <c r="Q2436">
        <v>5</v>
      </c>
    </row>
    <row r="2437" spans="1:17" x14ac:dyDescent="0.25">
      <c r="A2437">
        <v>2.25</v>
      </c>
      <c r="Q2437">
        <v>4</v>
      </c>
    </row>
    <row r="2438" spans="1:17" x14ac:dyDescent="0.25">
      <c r="A2438">
        <v>5</v>
      </c>
      <c r="Q2438">
        <v>5</v>
      </c>
    </row>
    <row r="2439" spans="1:17" x14ac:dyDescent="0.25">
      <c r="A2439">
        <v>5</v>
      </c>
      <c r="Q2439">
        <v>1</v>
      </c>
    </row>
    <row r="2440" spans="1:17" x14ac:dyDescent="0.25">
      <c r="A2440">
        <v>10.125</v>
      </c>
      <c r="Q2440">
        <v>2</v>
      </c>
    </row>
    <row r="2441" spans="1:17" x14ac:dyDescent="0.25">
      <c r="A2441">
        <v>2.5</v>
      </c>
      <c r="Q2441">
        <v>5</v>
      </c>
    </row>
    <row r="2442" spans="1:17" x14ac:dyDescent="0.25">
      <c r="A2442">
        <v>2.625</v>
      </c>
      <c r="Q2442">
        <v>5</v>
      </c>
    </row>
    <row r="2443" spans="1:17" x14ac:dyDescent="0.25">
      <c r="A2443">
        <v>9</v>
      </c>
      <c r="Q2443">
        <v>5.25</v>
      </c>
    </row>
    <row r="2444" spans="1:17" x14ac:dyDescent="0.25">
      <c r="A2444">
        <v>1</v>
      </c>
      <c r="Q2444">
        <v>5</v>
      </c>
    </row>
    <row r="2445" spans="1:17" x14ac:dyDescent="0.25">
      <c r="A2445">
        <v>1.5</v>
      </c>
      <c r="Q2445">
        <v>8.5</v>
      </c>
    </row>
    <row r="2446" spans="1:17" x14ac:dyDescent="0.25">
      <c r="A2446">
        <v>5</v>
      </c>
      <c r="Q2446">
        <v>5</v>
      </c>
    </row>
    <row r="2447" spans="1:17" x14ac:dyDescent="0.25">
      <c r="A2447">
        <v>4.25</v>
      </c>
      <c r="Q2447">
        <v>5</v>
      </c>
    </row>
    <row r="2448" spans="1:17" x14ac:dyDescent="0.25">
      <c r="A2448">
        <v>4.25</v>
      </c>
      <c r="Q2448">
        <v>5</v>
      </c>
    </row>
    <row r="2449" spans="1:17" x14ac:dyDescent="0.25">
      <c r="A2449">
        <v>3</v>
      </c>
      <c r="Q2449">
        <v>5.25</v>
      </c>
    </row>
    <row r="2450" spans="1:17" x14ac:dyDescent="0.25">
      <c r="A2450">
        <v>1.5</v>
      </c>
      <c r="Q2450">
        <v>6</v>
      </c>
    </row>
    <row r="2451" spans="1:17" x14ac:dyDescent="0.25">
      <c r="A2451">
        <v>5</v>
      </c>
      <c r="Q2451">
        <v>4.75</v>
      </c>
    </row>
    <row r="2452" spans="1:17" x14ac:dyDescent="0.25">
      <c r="A2452">
        <v>5</v>
      </c>
      <c r="Q2452">
        <v>5</v>
      </c>
    </row>
    <row r="2453" spans="1:17" x14ac:dyDescent="0.25">
      <c r="A2453">
        <v>5</v>
      </c>
      <c r="Q2453">
        <v>5</v>
      </c>
    </row>
    <row r="2454" spans="1:17" x14ac:dyDescent="0.25">
      <c r="A2454">
        <v>5</v>
      </c>
      <c r="Q2454">
        <v>5</v>
      </c>
    </row>
    <row r="2455" spans="1:17" x14ac:dyDescent="0.25">
      <c r="A2455">
        <v>5</v>
      </c>
      <c r="Q2455">
        <v>3</v>
      </c>
    </row>
    <row r="2456" spans="1:17" x14ac:dyDescent="0.25">
      <c r="A2456">
        <v>5</v>
      </c>
      <c r="Q2456">
        <v>2</v>
      </c>
    </row>
    <row r="2457" spans="1:17" x14ac:dyDescent="0.25">
      <c r="A2457">
        <v>4.875</v>
      </c>
      <c r="Q2457">
        <v>5</v>
      </c>
    </row>
    <row r="2458" spans="1:17" x14ac:dyDescent="0.25">
      <c r="A2458">
        <v>1.75</v>
      </c>
      <c r="Q2458">
        <v>2.5</v>
      </c>
    </row>
    <row r="2459" spans="1:17" x14ac:dyDescent="0.25">
      <c r="A2459">
        <v>5</v>
      </c>
      <c r="Q2459">
        <v>5</v>
      </c>
    </row>
    <row r="2460" spans="1:17" x14ac:dyDescent="0.25">
      <c r="A2460">
        <v>3.75</v>
      </c>
      <c r="Q2460">
        <v>5</v>
      </c>
    </row>
    <row r="2461" spans="1:17" x14ac:dyDescent="0.25">
      <c r="A2461">
        <v>5</v>
      </c>
      <c r="Q2461">
        <v>5</v>
      </c>
    </row>
    <row r="2462" spans="1:17" x14ac:dyDescent="0.25">
      <c r="A2462">
        <v>5</v>
      </c>
      <c r="Q2462">
        <v>5</v>
      </c>
    </row>
    <row r="2463" spans="1:17" x14ac:dyDescent="0.25">
      <c r="A2463">
        <v>5</v>
      </c>
      <c r="Q2463">
        <v>5</v>
      </c>
    </row>
    <row r="2464" spans="1:17" x14ac:dyDescent="0.25">
      <c r="A2464">
        <v>5</v>
      </c>
      <c r="Q2464">
        <v>5</v>
      </c>
    </row>
    <row r="2465" spans="1:17" x14ac:dyDescent="0.25">
      <c r="A2465">
        <v>5</v>
      </c>
      <c r="Q2465">
        <v>3.25</v>
      </c>
    </row>
    <row r="2466" spans="1:17" x14ac:dyDescent="0.25">
      <c r="A2466">
        <v>7</v>
      </c>
      <c r="Q2466">
        <v>5</v>
      </c>
    </row>
    <row r="2467" spans="1:17" x14ac:dyDescent="0.25">
      <c r="A2467">
        <v>5</v>
      </c>
      <c r="Q2467">
        <v>5</v>
      </c>
    </row>
    <row r="2468" spans="1:17" x14ac:dyDescent="0.25">
      <c r="A2468">
        <v>5</v>
      </c>
      <c r="Q2468">
        <v>2.25</v>
      </c>
    </row>
    <row r="2469" spans="1:17" x14ac:dyDescent="0.25">
      <c r="A2469">
        <v>5</v>
      </c>
      <c r="Q2469">
        <v>5</v>
      </c>
    </row>
    <row r="2470" spans="1:17" x14ac:dyDescent="0.25">
      <c r="A2470">
        <v>5</v>
      </c>
      <c r="Q2470">
        <v>3.375</v>
      </c>
    </row>
    <row r="2471" spans="1:17" x14ac:dyDescent="0.25">
      <c r="A2471">
        <v>5</v>
      </c>
      <c r="Q2471">
        <v>2.5</v>
      </c>
    </row>
    <row r="2472" spans="1:17" x14ac:dyDescent="0.25">
      <c r="A2472">
        <v>5</v>
      </c>
      <c r="Q2472">
        <v>5</v>
      </c>
    </row>
    <row r="2473" spans="1:17" x14ac:dyDescent="0.25">
      <c r="A2473">
        <v>5</v>
      </c>
      <c r="Q2473">
        <v>5</v>
      </c>
    </row>
    <row r="2474" spans="1:17" x14ac:dyDescent="0.25">
      <c r="A2474">
        <v>5.25</v>
      </c>
      <c r="Q2474">
        <v>3</v>
      </c>
    </row>
    <row r="2475" spans="1:17" x14ac:dyDescent="0.25">
      <c r="A2475">
        <v>0.75</v>
      </c>
      <c r="Q2475">
        <v>5</v>
      </c>
    </row>
    <row r="2476" spans="1:17" x14ac:dyDescent="0.25">
      <c r="A2476">
        <v>5</v>
      </c>
      <c r="Q2476">
        <v>4.5</v>
      </c>
    </row>
    <row r="2477" spans="1:17" x14ac:dyDescent="0.25">
      <c r="A2477">
        <v>5.25</v>
      </c>
      <c r="Q2477">
        <v>5</v>
      </c>
    </row>
    <row r="2478" spans="1:17" x14ac:dyDescent="0.25">
      <c r="A2478">
        <v>5</v>
      </c>
      <c r="Q2478">
        <v>5</v>
      </c>
    </row>
    <row r="2479" spans="1:17" x14ac:dyDescent="0.25">
      <c r="A2479">
        <v>7.25</v>
      </c>
      <c r="Q2479">
        <v>4</v>
      </c>
    </row>
    <row r="2480" spans="1:17" x14ac:dyDescent="0.25">
      <c r="A2480">
        <v>10</v>
      </c>
      <c r="Q2480">
        <v>3.375</v>
      </c>
    </row>
    <row r="2481" spans="1:17" x14ac:dyDescent="0.25">
      <c r="A2481">
        <v>10</v>
      </c>
      <c r="Q2481">
        <v>10.5</v>
      </c>
    </row>
    <row r="2482" spans="1:17" x14ac:dyDescent="0.25">
      <c r="A2482">
        <v>3</v>
      </c>
      <c r="Q2482">
        <v>4.125</v>
      </c>
    </row>
    <row r="2483" spans="1:17" x14ac:dyDescent="0.25">
      <c r="A2483">
        <v>5</v>
      </c>
      <c r="Q2483">
        <v>5</v>
      </c>
    </row>
    <row r="2484" spans="1:17" x14ac:dyDescent="0.25">
      <c r="A2484">
        <v>1.5</v>
      </c>
      <c r="Q2484">
        <v>5</v>
      </c>
    </row>
    <row r="2485" spans="1:17" x14ac:dyDescent="0.25">
      <c r="A2485">
        <v>5.5</v>
      </c>
      <c r="Q2485">
        <v>5</v>
      </c>
    </row>
    <row r="2486" spans="1:17" x14ac:dyDescent="0.25">
      <c r="A2486">
        <v>5</v>
      </c>
      <c r="Q2486">
        <v>3.375</v>
      </c>
    </row>
    <row r="2487" spans="1:17" x14ac:dyDescent="0.25">
      <c r="A2487">
        <v>5</v>
      </c>
      <c r="Q2487">
        <v>4.25</v>
      </c>
    </row>
    <row r="2488" spans="1:17" x14ac:dyDescent="0.25">
      <c r="A2488">
        <v>0.75</v>
      </c>
      <c r="Q2488">
        <v>2.5</v>
      </c>
    </row>
    <row r="2489" spans="1:17" x14ac:dyDescent="0.25">
      <c r="A2489">
        <v>1</v>
      </c>
      <c r="Q2489">
        <v>6.75</v>
      </c>
    </row>
    <row r="2490" spans="1:17" x14ac:dyDescent="0.25">
      <c r="A2490">
        <v>5</v>
      </c>
      <c r="Q2490">
        <v>5</v>
      </c>
    </row>
    <row r="2491" spans="1:17" x14ac:dyDescent="0.25">
      <c r="A2491">
        <v>0.25</v>
      </c>
      <c r="Q2491">
        <v>3</v>
      </c>
    </row>
    <row r="2492" spans="1:17" x14ac:dyDescent="0.25">
      <c r="A2492">
        <v>5</v>
      </c>
      <c r="Q2492">
        <v>5.5</v>
      </c>
    </row>
    <row r="2493" spans="1:17" x14ac:dyDescent="0.25">
      <c r="A2493">
        <v>5</v>
      </c>
      <c r="Q2493">
        <v>3.75</v>
      </c>
    </row>
    <row r="2494" spans="1:17" x14ac:dyDescent="0.25">
      <c r="A2494">
        <v>4</v>
      </c>
      <c r="Q2494">
        <v>5</v>
      </c>
    </row>
    <row r="2495" spans="1:17" x14ac:dyDescent="0.25">
      <c r="A2495">
        <v>5</v>
      </c>
      <c r="Q2495">
        <v>3</v>
      </c>
    </row>
    <row r="2496" spans="1:17" x14ac:dyDescent="0.25">
      <c r="A2496">
        <v>5</v>
      </c>
      <c r="Q2496">
        <v>5</v>
      </c>
    </row>
    <row r="2497" spans="1:17" x14ac:dyDescent="0.25">
      <c r="A2497">
        <v>4</v>
      </c>
      <c r="Q2497">
        <v>4.5</v>
      </c>
    </row>
    <row r="2498" spans="1:17" x14ac:dyDescent="0.25">
      <c r="A2498">
        <v>5</v>
      </c>
      <c r="Q2498">
        <v>5</v>
      </c>
    </row>
    <row r="2499" spans="1:17" x14ac:dyDescent="0.25">
      <c r="A2499">
        <v>7</v>
      </c>
      <c r="Q2499">
        <v>5</v>
      </c>
    </row>
    <row r="2500" spans="1:17" x14ac:dyDescent="0.25">
      <c r="A2500">
        <v>5.5</v>
      </c>
      <c r="Q2500">
        <v>4.5</v>
      </c>
    </row>
    <row r="2501" spans="1:17" x14ac:dyDescent="0.25">
      <c r="A2501">
        <v>5</v>
      </c>
      <c r="Q2501">
        <v>2.625</v>
      </c>
    </row>
    <row r="2502" spans="1:17" x14ac:dyDescent="0.25">
      <c r="A2502">
        <v>5</v>
      </c>
      <c r="Q2502">
        <v>5</v>
      </c>
    </row>
    <row r="2503" spans="1:17" x14ac:dyDescent="0.25">
      <c r="A2503">
        <v>5</v>
      </c>
      <c r="Q2503">
        <v>5</v>
      </c>
    </row>
    <row r="2504" spans="1:17" x14ac:dyDescent="0.25">
      <c r="A2504">
        <v>5</v>
      </c>
      <c r="Q2504">
        <v>5</v>
      </c>
    </row>
    <row r="2505" spans="1:17" x14ac:dyDescent="0.25">
      <c r="A2505">
        <v>5</v>
      </c>
      <c r="Q2505">
        <v>5.625</v>
      </c>
    </row>
    <row r="2506" spans="1:17" x14ac:dyDescent="0.25">
      <c r="A2506">
        <v>5</v>
      </c>
      <c r="Q2506">
        <v>3</v>
      </c>
    </row>
    <row r="2507" spans="1:17" x14ac:dyDescent="0.25">
      <c r="A2507">
        <v>5.25</v>
      </c>
      <c r="Q2507">
        <v>0.25</v>
      </c>
    </row>
    <row r="2508" spans="1:17" x14ac:dyDescent="0.25">
      <c r="A2508">
        <v>5</v>
      </c>
      <c r="Q2508">
        <v>5</v>
      </c>
    </row>
    <row r="2509" spans="1:17" x14ac:dyDescent="0.25">
      <c r="A2509">
        <v>5</v>
      </c>
      <c r="Q2509">
        <v>5</v>
      </c>
    </row>
    <row r="2510" spans="1:17" x14ac:dyDescent="0.25">
      <c r="A2510">
        <v>4.5</v>
      </c>
      <c r="Q2510">
        <v>3</v>
      </c>
    </row>
    <row r="2511" spans="1:17" x14ac:dyDescent="0.25">
      <c r="A2511">
        <v>2</v>
      </c>
      <c r="Q2511">
        <v>3</v>
      </c>
    </row>
    <row r="2512" spans="1:17" x14ac:dyDescent="0.25">
      <c r="A2512">
        <v>4</v>
      </c>
      <c r="Q2512">
        <v>3.5</v>
      </c>
    </row>
    <row r="2513" spans="1:17" x14ac:dyDescent="0.25">
      <c r="A2513">
        <v>5.75</v>
      </c>
      <c r="Q2513">
        <v>5.25</v>
      </c>
    </row>
    <row r="2514" spans="1:17" x14ac:dyDescent="0.25">
      <c r="A2514">
        <v>1</v>
      </c>
      <c r="Q2514">
        <v>6.75</v>
      </c>
    </row>
    <row r="2515" spans="1:17" x14ac:dyDescent="0.25">
      <c r="A2515">
        <v>4</v>
      </c>
      <c r="Q2515">
        <v>8.25</v>
      </c>
    </row>
    <row r="2516" spans="1:17" x14ac:dyDescent="0.25">
      <c r="A2516">
        <v>3</v>
      </c>
      <c r="Q2516">
        <v>0.5</v>
      </c>
    </row>
    <row r="2517" spans="1:17" x14ac:dyDescent="0.25">
      <c r="A2517">
        <v>2.25</v>
      </c>
      <c r="Q2517">
        <v>7.5</v>
      </c>
    </row>
    <row r="2518" spans="1:17" x14ac:dyDescent="0.25">
      <c r="A2518">
        <v>5.5</v>
      </c>
      <c r="Q2518">
        <v>7.5</v>
      </c>
    </row>
    <row r="2519" spans="1:17" x14ac:dyDescent="0.25">
      <c r="A2519">
        <v>5</v>
      </c>
      <c r="Q2519">
        <v>5</v>
      </c>
    </row>
    <row r="2520" spans="1:17" x14ac:dyDescent="0.25">
      <c r="A2520">
        <v>5</v>
      </c>
      <c r="Q2520">
        <v>9</v>
      </c>
    </row>
    <row r="2521" spans="1:17" x14ac:dyDescent="0.25">
      <c r="A2521">
        <v>7.25</v>
      </c>
      <c r="Q2521">
        <v>6.75</v>
      </c>
    </row>
    <row r="2522" spans="1:17" x14ac:dyDescent="0.25">
      <c r="A2522">
        <v>5</v>
      </c>
      <c r="Q2522">
        <v>7.5</v>
      </c>
    </row>
    <row r="2523" spans="1:17" x14ac:dyDescent="0.25">
      <c r="A2523">
        <v>6.25</v>
      </c>
      <c r="Q2523">
        <v>7.5</v>
      </c>
    </row>
    <row r="2524" spans="1:17" x14ac:dyDescent="0.25">
      <c r="A2524">
        <v>9</v>
      </c>
      <c r="Q2524">
        <v>7.5</v>
      </c>
    </row>
    <row r="2525" spans="1:17" x14ac:dyDescent="0.25">
      <c r="A2525">
        <v>1</v>
      </c>
      <c r="Q2525">
        <v>1.5</v>
      </c>
    </row>
    <row r="2526" spans="1:17" x14ac:dyDescent="0.25">
      <c r="A2526">
        <v>4</v>
      </c>
      <c r="Q2526">
        <v>7.5</v>
      </c>
    </row>
    <row r="2527" spans="1:17" x14ac:dyDescent="0.25">
      <c r="A2527">
        <v>3</v>
      </c>
      <c r="Q2527">
        <v>7.5</v>
      </c>
    </row>
    <row r="2528" spans="1:17" x14ac:dyDescent="0.25">
      <c r="A2528">
        <v>5</v>
      </c>
      <c r="Q2528">
        <v>3</v>
      </c>
    </row>
    <row r="2529" spans="1:17" x14ac:dyDescent="0.25">
      <c r="A2529">
        <v>5</v>
      </c>
      <c r="Q2529">
        <v>7.5</v>
      </c>
    </row>
    <row r="2530" spans="1:17" x14ac:dyDescent="0.25">
      <c r="A2530">
        <v>2.5</v>
      </c>
      <c r="Q2530">
        <v>7.5</v>
      </c>
    </row>
    <row r="2531" spans="1:17" x14ac:dyDescent="0.25">
      <c r="A2531">
        <v>5.75</v>
      </c>
      <c r="Q2531">
        <v>7.5</v>
      </c>
    </row>
    <row r="2532" spans="1:17" x14ac:dyDescent="0.25">
      <c r="A2532">
        <v>5</v>
      </c>
      <c r="Q2532">
        <v>4.5</v>
      </c>
    </row>
    <row r="2533" spans="1:17" x14ac:dyDescent="0.25">
      <c r="A2533">
        <v>5</v>
      </c>
      <c r="Q2533">
        <v>8</v>
      </c>
    </row>
    <row r="2534" spans="1:17" x14ac:dyDescent="0.25">
      <c r="A2534">
        <v>5</v>
      </c>
      <c r="Q2534">
        <v>7.5</v>
      </c>
    </row>
    <row r="2535" spans="1:17" x14ac:dyDescent="0.25">
      <c r="A2535">
        <v>5.25</v>
      </c>
      <c r="Q2535">
        <v>5</v>
      </c>
    </row>
    <row r="2536" spans="1:17" x14ac:dyDescent="0.25">
      <c r="A2536">
        <v>5</v>
      </c>
      <c r="Q2536">
        <v>2.625</v>
      </c>
    </row>
    <row r="2537" spans="1:17" x14ac:dyDescent="0.25">
      <c r="A2537">
        <v>2.5</v>
      </c>
      <c r="Q2537">
        <v>4.5</v>
      </c>
    </row>
    <row r="2538" spans="1:17" x14ac:dyDescent="0.25">
      <c r="A2538">
        <v>5</v>
      </c>
      <c r="Q2538">
        <v>7.5</v>
      </c>
    </row>
    <row r="2539" spans="1:17" x14ac:dyDescent="0.25">
      <c r="A2539">
        <v>5</v>
      </c>
      <c r="Q2539">
        <v>7.5</v>
      </c>
    </row>
    <row r="2540" spans="1:17" x14ac:dyDescent="0.25">
      <c r="A2540">
        <v>5</v>
      </c>
      <c r="Q2540">
        <v>1</v>
      </c>
    </row>
    <row r="2541" spans="1:17" x14ac:dyDescent="0.25">
      <c r="A2541">
        <v>5</v>
      </c>
      <c r="Q2541">
        <v>9.375</v>
      </c>
    </row>
    <row r="2542" spans="1:17" x14ac:dyDescent="0.25">
      <c r="A2542">
        <v>5</v>
      </c>
      <c r="Q2542">
        <v>5</v>
      </c>
    </row>
    <row r="2543" spans="1:17" x14ac:dyDescent="0.25">
      <c r="A2543">
        <v>10</v>
      </c>
      <c r="Q2543">
        <v>5</v>
      </c>
    </row>
    <row r="2544" spans="1:17" x14ac:dyDescent="0.25">
      <c r="A2544">
        <v>5</v>
      </c>
      <c r="Q2544">
        <v>1.875</v>
      </c>
    </row>
    <row r="2545" spans="1:17" x14ac:dyDescent="0.25">
      <c r="A2545">
        <v>7</v>
      </c>
      <c r="Q2545">
        <v>2.75</v>
      </c>
    </row>
    <row r="2546" spans="1:17" x14ac:dyDescent="0.25">
      <c r="A2546">
        <v>3</v>
      </c>
      <c r="Q2546">
        <v>7.5</v>
      </c>
    </row>
    <row r="2547" spans="1:17" x14ac:dyDescent="0.25">
      <c r="A2547">
        <v>5</v>
      </c>
      <c r="Q2547">
        <v>9.375</v>
      </c>
    </row>
    <row r="2548" spans="1:17" x14ac:dyDescent="0.25">
      <c r="A2548">
        <v>4</v>
      </c>
      <c r="Q2548">
        <v>4.5</v>
      </c>
    </row>
    <row r="2549" spans="1:17" x14ac:dyDescent="0.25">
      <c r="A2549">
        <v>5</v>
      </c>
      <c r="Q2549">
        <v>7.5</v>
      </c>
    </row>
    <row r="2550" spans="1:17" x14ac:dyDescent="0.25">
      <c r="A2550">
        <v>5</v>
      </c>
      <c r="Q2550">
        <v>5</v>
      </c>
    </row>
    <row r="2551" spans="1:17" x14ac:dyDescent="0.25">
      <c r="A2551">
        <v>1</v>
      </c>
      <c r="Q2551">
        <v>5</v>
      </c>
    </row>
    <row r="2552" spans="1:17" x14ac:dyDescent="0.25">
      <c r="A2552">
        <v>3</v>
      </c>
      <c r="Q2552">
        <v>5</v>
      </c>
    </row>
    <row r="2553" spans="1:17" x14ac:dyDescent="0.25">
      <c r="A2553">
        <v>3.75</v>
      </c>
      <c r="Q2553">
        <v>5</v>
      </c>
    </row>
    <row r="2554" spans="1:17" x14ac:dyDescent="0.25">
      <c r="A2554">
        <v>5</v>
      </c>
      <c r="Q2554">
        <v>5</v>
      </c>
    </row>
    <row r="2555" spans="1:17" x14ac:dyDescent="0.25">
      <c r="A2555">
        <v>5</v>
      </c>
      <c r="Q2555">
        <v>7.25</v>
      </c>
    </row>
    <row r="2556" spans="1:17" x14ac:dyDescent="0.25">
      <c r="A2556">
        <v>5</v>
      </c>
      <c r="Q2556">
        <v>3</v>
      </c>
    </row>
    <row r="2557" spans="1:17" x14ac:dyDescent="0.25">
      <c r="A2557">
        <v>5</v>
      </c>
      <c r="Q2557">
        <v>5.5</v>
      </c>
    </row>
    <row r="2558" spans="1:17" x14ac:dyDescent="0.25">
      <c r="A2558">
        <v>5</v>
      </c>
      <c r="Q2558">
        <v>5</v>
      </c>
    </row>
    <row r="2559" spans="1:17" x14ac:dyDescent="0.25">
      <c r="A2559">
        <v>1</v>
      </c>
      <c r="Q2559">
        <v>4</v>
      </c>
    </row>
    <row r="2560" spans="1:17" x14ac:dyDescent="0.25">
      <c r="A2560">
        <v>5</v>
      </c>
      <c r="Q2560">
        <v>5</v>
      </c>
    </row>
    <row r="2561" spans="1:17" x14ac:dyDescent="0.25">
      <c r="A2561">
        <v>5</v>
      </c>
      <c r="Q2561">
        <v>4.25</v>
      </c>
    </row>
    <row r="2562" spans="1:17" x14ac:dyDescent="0.25">
      <c r="A2562">
        <v>6</v>
      </c>
      <c r="Q2562">
        <v>5</v>
      </c>
    </row>
    <row r="2563" spans="1:17" x14ac:dyDescent="0.25">
      <c r="A2563">
        <v>3.5</v>
      </c>
      <c r="Q2563">
        <v>2</v>
      </c>
    </row>
    <row r="2564" spans="1:17" x14ac:dyDescent="0.25">
      <c r="A2564">
        <v>7</v>
      </c>
      <c r="Q2564">
        <v>1.5</v>
      </c>
    </row>
    <row r="2565" spans="1:17" x14ac:dyDescent="0.25">
      <c r="A2565">
        <v>8</v>
      </c>
      <c r="Q2565">
        <v>5</v>
      </c>
    </row>
    <row r="2566" spans="1:17" x14ac:dyDescent="0.25">
      <c r="A2566">
        <v>4.5</v>
      </c>
      <c r="Q2566">
        <v>4.5</v>
      </c>
    </row>
    <row r="2567" spans="1:17" x14ac:dyDescent="0.25">
      <c r="A2567">
        <v>5</v>
      </c>
      <c r="Q2567">
        <v>5</v>
      </c>
    </row>
    <row r="2568" spans="1:17" x14ac:dyDescent="0.25">
      <c r="A2568">
        <v>5</v>
      </c>
      <c r="Q2568">
        <v>4.5</v>
      </c>
    </row>
    <row r="2569" spans="1:17" x14ac:dyDescent="0.25">
      <c r="A2569">
        <v>5</v>
      </c>
      <c r="Q2569">
        <v>5</v>
      </c>
    </row>
    <row r="2570" spans="1:17" x14ac:dyDescent="0.25">
      <c r="A2570">
        <v>5</v>
      </c>
      <c r="Q2570">
        <v>5</v>
      </c>
    </row>
    <row r="2571" spans="1:17" x14ac:dyDescent="0.25">
      <c r="A2571">
        <v>4.75</v>
      </c>
      <c r="Q2571">
        <v>5.5</v>
      </c>
    </row>
    <row r="2572" spans="1:17" x14ac:dyDescent="0.25">
      <c r="A2572">
        <v>3</v>
      </c>
      <c r="Q2572">
        <v>5</v>
      </c>
    </row>
    <row r="2573" spans="1:17" x14ac:dyDescent="0.25">
      <c r="A2573">
        <v>6</v>
      </c>
      <c r="Q2573">
        <v>2</v>
      </c>
    </row>
    <row r="2574" spans="1:17" x14ac:dyDescent="0.25">
      <c r="A2574">
        <v>5</v>
      </c>
      <c r="Q2574">
        <v>6.75</v>
      </c>
    </row>
    <row r="2575" spans="1:17" x14ac:dyDescent="0.25">
      <c r="A2575">
        <v>5</v>
      </c>
      <c r="Q2575">
        <v>5</v>
      </c>
    </row>
    <row r="2576" spans="1:17" x14ac:dyDescent="0.25">
      <c r="A2576">
        <v>0.25</v>
      </c>
      <c r="Q2576">
        <v>5.5</v>
      </c>
    </row>
    <row r="2577" spans="1:17" x14ac:dyDescent="0.25">
      <c r="A2577">
        <v>5</v>
      </c>
      <c r="Q2577">
        <v>5</v>
      </c>
    </row>
    <row r="2578" spans="1:17" x14ac:dyDescent="0.25">
      <c r="A2578">
        <v>5</v>
      </c>
      <c r="Q2578">
        <v>5</v>
      </c>
    </row>
    <row r="2579" spans="1:17" x14ac:dyDescent="0.25">
      <c r="A2579">
        <v>5.25</v>
      </c>
      <c r="Q2579">
        <v>7.25</v>
      </c>
    </row>
    <row r="2580" spans="1:17" x14ac:dyDescent="0.25">
      <c r="A2580">
        <v>5</v>
      </c>
      <c r="Q2580">
        <v>5</v>
      </c>
    </row>
    <row r="2581" spans="1:17" x14ac:dyDescent="0.25">
      <c r="A2581">
        <v>4.5</v>
      </c>
      <c r="Q2581">
        <v>7</v>
      </c>
    </row>
    <row r="2582" spans="1:17" x14ac:dyDescent="0.25">
      <c r="A2582">
        <v>5</v>
      </c>
      <c r="Q2582">
        <v>6.5</v>
      </c>
    </row>
    <row r="2583" spans="1:17" x14ac:dyDescent="0.25">
      <c r="A2583">
        <v>5</v>
      </c>
      <c r="Q2583">
        <v>5</v>
      </c>
    </row>
    <row r="2584" spans="1:17" x14ac:dyDescent="0.25">
      <c r="A2584">
        <v>2.25</v>
      </c>
      <c r="Q2584">
        <v>5</v>
      </c>
    </row>
    <row r="2585" spans="1:17" x14ac:dyDescent="0.25">
      <c r="A2585">
        <v>5</v>
      </c>
      <c r="Q2585">
        <v>5</v>
      </c>
    </row>
    <row r="2586" spans="1:17" x14ac:dyDescent="0.25">
      <c r="A2586">
        <v>4</v>
      </c>
      <c r="Q2586">
        <v>5</v>
      </c>
    </row>
    <row r="2587" spans="1:17" x14ac:dyDescent="0.25">
      <c r="A2587">
        <v>5</v>
      </c>
      <c r="Q2587">
        <v>5</v>
      </c>
    </row>
    <row r="2588" spans="1:17" x14ac:dyDescent="0.25">
      <c r="A2588">
        <v>10</v>
      </c>
      <c r="Q2588">
        <v>5</v>
      </c>
    </row>
    <row r="2589" spans="1:17" x14ac:dyDescent="0.25">
      <c r="A2589">
        <v>1</v>
      </c>
      <c r="Q2589">
        <v>5</v>
      </c>
    </row>
    <row r="2590" spans="1:17" x14ac:dyDescent="0.25">
      <c r="A2590">
        <v>5</v>
      </c>
      <c r="Q2590">
        <v>2.5</v>
      </c>
    </row>
    <row r="2591" spans="1:17" x14ac:dyDescent="0.25">
      <c r="A2591">
        <v>4</v>
      </c>
      <c r="Q2591">
        <v>5</v>
      </c>
    </row>
    <row r="2592" spans="1:17" x14ac:dyDescent="0.25">
      <c r="A2592">
        <v>1</v>
      </c>
      <c r="Q2592">
        <v>5</v>
      </c>
    </row>
    <row r="2593" spans="1:17" x14ac:dyDescent="0.25">
      <c r="A2593">
        <v>5</v>
      </c>
      <c r="Q2593">
        <v>5</v>
      </c>
    </row>
    <row r="2594" spans="1:17" x14ac:dyDescent="0.25">
      <c r="A2594">
        <v>5</v>
      </c>
      <c r="Q2594">
        <v>5</v>
      </c>
    </row>
    <row r="2595" spans="1:17" x14ac:dyDescent="0.25">
      <c r="A2595">
        <v>4</v>
      </c>
      <c r="Q2595">
        <v>2.25</v>
      </c>
    </row>
    <row r="2596" spans="1:17" x14ac:dyDescent="0.25">
      <c r="A2596">
        <v>8.75</v>
      </c>
      <c r="Q2596">
        <v>5</v>
      </c>
    </row>
    <row r="2597" spans="1:17" x14ac:dyDescent="0.25">
      <c r="A2597">
        <v>5</v>
      </c>
      <c r="Q2597">
        <v>6</v>
      </c>
    </row>
    <row r="2598" spans="1:17" x14ac:dyDescent="0.25">
      <c r="A2598">
        <v>3.5</v>
      </c>
      <c r="Q2598">
        <v>5</v>
      </c>
    </row>
    <row r="2599" spans="1:17" x14ac:dyDescent="0.25">
      <c r="A2599">
        <v>5</v>
      </c>
      <c r="Q2599">
        <v>5.25</v>
      </c>
    </row>
    <row r="2600" spans="1:17" x14ac:dyDescent="0.25">
      <c r="A2600">
        <v>5</v>
      </c>
      <c r="Q2600">
        <v>5</v>
      </c>
    </row>
    <row r="2601" spans="1:17" x14ac:dyDescent="0.25">
      <c r="A2601">
        <v>5</v>
      </c>
      <c r="Q2601">
        <v>2.5</v>
      </c>
    </row>
    <row r="2602" spans="1:17" x14ac:dyDescent="0.25">
      <c r="A2602">
        <v>1.5</v>
      </c>
      <c r="Q2602">
        <v>4.75</v>
      </c>
    </row>
    <row r="2603" spans="1:17" x14ac:dyDescent="0.25">
      <c r="A2603">
        <v>5</v>
      </c>
      <c r="Q2603">
        <v>7</v>
      </c>
    </row>
    <row r="2604" spans="1:17" x14ac:dyDescent="0.25">
      <c r="A2604">
        <v>5</v>
      </c>
      <c r="Q2604">
        <v>4.5</v>
      </c>
    </row>
    <row r="2605" spans="1:17" x14ac:dyDescent="0.25">
      <c r="A2605">
        <v>4</v>
      </c>
      <c r="Q2605">
        <v>5</v>
      </c>
    </row>
    <row r="2606" spans="1:17" x14ac:dyDescent="0.25">
      <c r="A2606">
        <v>5</v>
      </c>
      <c r="Q2606">
        <v>5</v>
      </c>
    </row>
    <row r="2607" spans="1:17" x14ac:dyDescent="0.25">
      <c r="A2607">
        <v>5</v>
      </c>
      <c r="Q2607">
        <v>5</v>
      </c>
    </row>
    <row r="2608" spans="1:17" x14ac:dyDescent="0.25">
      <c r="A2608">
        <v>3.5</v>
      </c>
      <c r="Q2608">
        <v>4.75</v>
      </c>
    </row>
    <row r="2609" spans="1:17" x14ac:dyDescent="0.25">
      <c r="A2609">
        <v>9</v>
      </c>
      <c r="Q2609">
        <v>5</v>
      </c>
    </row>
    <row r="2610" spans="1:17" x14ac:dyDescent="0.25">
      <c r="A2610">
        <v>4.25</v>
      </c>
      <c r="Q2610">
        <v>5</v>
      </c>
    </row>
    <row r="2611" spans="1:17" x14ac:dyDescent="0.25">
      <c r="A2611">
        <v>5</v>
      </c>
      <c r="Q2611">
        <v>5</v>
      </c>
    </row>
    <row r="2612" spans="1:17" x14ac:dyDescent="0.25">
      <c r="A2612">
        <v>2.5</v>
      </c>
      <c r="Q2612">
        <v>4.75</v>
      </c>
    </row>
    <row r="2613" spans="1:17" x14ac:dyDescent="0.25">
      <c r="A2613">
        <v>5</v>
      </c>
      <c r="Q2613">
        <v>5.75</v>
      </c>
    </row>
    <row r="2614" spans="1:17" x14ac:dyDescent="0.25">
      <c r="A2614">
        <v>5</v>
      </c>
      <c r="Q2614">
        <v>3</v>
      </c>
    </row>
    <row r="2615" spans="1:17" x14ac:dyDescent="0.25">
      <c r="A2615">
        <v>3.5</v>
      </c>
      <c r="Q2615">
        <v>5</v>
      </c>
    </row>
    <row r="2616" spans="1:17" x14ac:dyDescent="0.25">
      <c r="A2616">
        <v>5</v>
      </c>
      <c r="Q2616">
        <v>5</v>
      </c>
    </row>
    <row r="2617" spans="1:17" x14ac:dyDescent="0.25">
      <c r="A2617">
        <v>5</v>
      </c>
      <c r="Q2617">
        <v>5.25</v>
      </c>
    </row>
    <row r="2618" spans="1:17" x14ac:dyDescent="0.25">
      <c r="A2618">
        <v>5.75</v>
      </c>
      <c r="Q2618">
        <v>7.25</v>
      </c>
    </row>
    <row r="2619" spans="1:17" x14ac:dyDescent="0.25">
      <c r="A2619">
        <v>5</v>
      </c>
      <c r="Q2619">
        <v>5</v>
      </c>
    </row>
    <row r="2620" spans="1:17" x14ac:dyDescent="0.25">
      <c r="A2620">
        <v>5</v>
      </c>
      <c r="Q2620">
        <v>5</v>
      </c>
    </row>
    <row r="2621" spans="1:17" x14ac:dyDescent="0.25">
      <c r="A2621">
        <v>4</v>
      </c>
      <c r="Q2621">
        <v>7.25</v>
      </c>
    </row>
    <row r="2622" spans="1:17" x14ac:dyDescent="0.25">
      <c r="A2622">
        <v>5</v>
      </c>
      <c r="Q2622">
        <v>5</v>
      </c>
    </row>
    <row r="2623" spans="1:17" x14ac:dyDescent="0.25">
      <c r="A2623">
        <v>5</v>
      </c>
      <c r="Q2623">
        <v>5</v>
      </c>
    </row>
    <row r="2624" spans="1:17" x14ac:dyDescent="0.25">
      <c r="A2624">
        <v>5</v>
      </c>
      <c r="Q2624">
        <v>5</v>
      </c>
    </row>
    <row r="2625" spans="1:17" x14ac:dyDescent="0.25">
      <c r="A2625">
        <v>5</v>
      </c>
      <c r="Q2625">
        <v>5</v>
      </c>
    </row>
    <row r="2626" spans="1:17" x14ac:dyDescent="0.25">
      <c r="A2626">
        <v>5</v>
      </c>
      <c r="Q2626">
        <v>7</v>
      </c>
    </row>
    <row r="2627" spans="1:17" x14ac:dyDescent="0.25">
      <c r="A2627">
        <v>5</v>
      </c>
      <c r="Q2627">
        <v>6</v>
      </c>
    </row>
    <row r="2628" spans="1:17" x14ac:dyDescent="0.25">
      <c r="A2628">
        <v>3.5</v>
      </c>
      <c r="Q2628">
        <v>5</v>
      </c>
    </row>
    <row r="2629" spans="1:17" x14ac:dyDescent="0.25">
      <c r="A2629">
        <v>5.5</v>
      </c>
      <c r="Q2629">
        <v>5.25</v>
      </c>
    </row>
    <row r="2630" spans="1:17" x14ac:dyDescent="0.25">
      <c r="A2630">
        <v>5.25</v>
      </c>
      <c r="Q2630">
        <v>2.25</v>
      </c>
    </row>
    <row r="2631" spans="1:17" x14ac:dyDescent="0.25">
      <c r="A2631">
        <v>5</v>
      </c>
      <c r="Q2631">
        <v>3.25</v>
      </c>
    </row>
    <row r="2632" spans="1:17" x14ac:dyDescent="0.25">
      <c r="A2632">
        <v>5</v>
      </c>
      <c r="Q2632">
        <v>2.25</v>
      </c>
    </row>
    <row r="2633" spans="1:17" x14ac:dyDescent="0.25">
      <c r="A2633">
        <v>5</v>
      </c>
      <c r="Q2633">
        <v>4.5</v>
      </c>
    </row>
    <row r="2634" spans="1:17" x14ac:dyDescent="0.25">
      <c r="A2634">
        <v>5</v>
      </c>
      <c r="Q2634">
        <v>5</v>
      </c>
    </row>
    <row r="2635" spans="1:17" x14ac:dyDescent="0.25">
      <c r="A2635">
        <v>5</v>
      </c>
      <c r="Q2635">
        <v>5</v>
      </c>
    </row>
    <row r="2636" spans="1:17" x14ac:dyDescent="0.25">
      <c r="A2636">
        <v>4</v>
      </c>
      <c r="Q2636">
        <v>5</v>
      </c>
    </row>
    <row r="2637" spans="1:17" x14ac:dyDescent="0.25">
      <c r="A2637">
        <v>1</v>
      </c>
      <c r="Q2637">
        <v>5</v>
      </c>
    </row>
    <row r="2638" spans="1:17" x14ac:dyDescent="0.25">
      <c r="A2638">
        <v>5</v>
      </c>
      <c r="Q2638">
        <v>5</v>
      </c>
    </row>
    <row r="2639" spans="1:17" x14ac:dyDescent="0.25">
      <c r="A2639">
        <v>3</v>
      </c>
      <c r="Q2639">
        <v>4</v>
      </c>
    </row>
    <row r="2640" spans="1:17" x14ac:dyDescent="0.25">
      <c r="A2640">
        <v>5</v>
      </c>
      <c r="Q2640">
        <v>1.75</v>
      </c>
    </row>
    <row r="2641" spans="1:17" x14ac:dyDescent="0.25">
      <c r="A2641">
        <v>5</v>
      </c>
      <c r="Q2641">
        <v>5</v>
      </c>
    </row>
    <row r="2642" spans="1:17" x14ac:dyDescent="0.25">
      <c r="A2642">
        <v>5</v>
      </c>
      <c r="Q2642">
        <v>2</v>
      </c>
    </row>
    <row r="2643" spans="1:17" x14ac:dyDescent="0.25">
      <c r="A2643">
        <v>5</v>
      </c>
      <c r="Q2643">
        <v>5</v>
      </c>
    </row>
    <row r="2644" spans="1:17" x14ac:dyDescent="0.25">
      <c r="A2644">
        <v>5</v>
      </c>
      <c r="Q2644">
        <v>5</v>
      </c>
    </row>
    <row r="2645" spans="1:17" x14ac:dyDescent="0.25">
      <c r="A2645">
        <v>4</v>
      </c>
      <c r="Q2645">
        <v>5</v>
      </c>
    </row>
    <row r="2646" spans="1:17" x14ac:dyDescent="0.25">
      <c r="A2646">
        <v>5</v>
      </c>
      <c r="Q2646">
        <v>5</v>
      </c>
    </row>
    <row r="2647" spans="1:17" x14ac:dyDescent="0.25">
      <c r="A2647">
        <v>4.5</v>
      </c>
      <c r="Q2647">
        <v>6</v>
      </c>
    </row>
    <row r="2648" spans="1:17" x14ac:dyDescent="0.25">
      <c r="A2648">
        <v>3</v>
      </c>
      <c r="Q2648">
        <v>3</v>
      </c>
    </row>
    <row r="2649" spans="1:17" x14ac:dyDescent="0.25">
      <c r="A2649">
        <v>1.25</v>
      </c>
      <c r="Q2649">
        <v>2</v>
      </c>
    </row>
    <row r="2650" spans="1:17" x14ac:dyDescent="0.25">
      <c r="A2650">
        <v>5</v>
      </c>
      <c r="Q2650">
        <v>5</v>
      </c>
    </row>
    <row r="2651" spans="1:17" x14ac:dyDescent="0.25">
      <c r="A2651">
        <v>5</v>
      </c>
      <c r="Q2651">
        <v>5</v>
      </c>
    </row>
    <row r="2652" spans="1:17" x14ac:dyDescent="0.25">
      <c r="A2652">
        <v>5</v>
      </c>
      <c r="Q2652">
        <v>3.75</v>
      </c>
    </row>
    <row r="2653" spans="1:17" x14ac:dyDescent="0.25">
      <c r="A2653">
        <v>5</v>
      </c>
      <c r="Q2653">
        <v>5</v>
      </c>
    </row>
    <row r="2654" spans="1:17" x14ac:dyDescent="0.25">
      <c r="A2654">
        <v>5.25</v>
      </c>
      <c r="Q2654">
        <v>5</v>
      </c>
    </row>
    <row r="2655" spans="1:17" x14ac:dyDescent="0.25">
      <c r="A2655">
        <v>5</v>
      </c>
      <c r="Q2655">
        <v>5</v>
      </c>
    </row>
    <row r="2656" spans="1:17" x14ac:dyDescent="0.25">
      <c r="A2656">
        <v>5</v>
      </c>
      <c r="Q2656">
        <v>5.5</v>
      </c>
    </row>
    <row r="2657" spans="1:17" x14ac:dyDescent="0.25">
      <c r="A2657">
        <v>5</v>
      </c>
      <c r="Q2657">
        <v>3.75</v>
      </c>
    </row>
    <row r="2658" spans="1:17" x14ac:dyDescent="0.25">
      <c r="A2658">
        <v>5</v>
      </c>
      <c r="Q2658">
        <v>5</v>
      </c>
    </row>
    <row r="2659" spans="1:17" x14ac:dyDescent="0.25">
      <c r="A2659">
        <v>5</v>
      </c>
      <c r="Q2659">
        <v>4</v>
      </c>
    </row>
    <row r="2660" spans="1:17" x14ac:dyDescent="0.25">
      <c r="A2660">
        <v>5</v>
      </c>
      <c r="Q2660">
        <v>5</v>
      </c>
    </row>
    <row r="2661" spans="1:17" x14ac:dyDescent="0.25">
      <c r="A2661">
        <v>1</v>
      </c>
      <c r="Q2661">
        <v>3.5</v>
      </c>
    </row>
    <row r="2662" spans="1:17" x14ac:dyDescent="0.25">
      <c r="A2662">
        <v>5</v>
      </c>
      <c r="Q2662">
        <v>5</v>
      </c>
    </row>
    <row r="2663" spans="1:17" x14ac:dyDescent="0.25">
      <c r="A2663">
        <v>2.5</v>
      </c>
      <c r="Q2663">
        <v>5</v>
      </c>
    </row>
    <row r="2664" spans="1:17" x14ac:dyDescent="0.25">
      <c r="A2664">
        <v>5</v>
      </c>
      <c r="Q2664">
        <v>5</v>
      </c>
    </row>
    <row r="2665" spans="1:17" x14ac:dyDescent="0.25">
      <c r="A2665">
        <v>5</v>
      </c>
      <c r="Q2665">
        <v>5.25</v>
      </c>
    </row>
    <row r="2666" spans="1:17" x14ac:dyDescent="0.25">
      <c r="A2666">
        <v>5</v>
      </c>
      <c r="Q2666">
        <v>5</v>
      </c>
    </row>
    <row r="2667" spans="1:17" x14ac:dyDescent="0.25">
      <c r="A2667">
        <v>5</v>
      </c>
      <c r="Q2667">
        <v>5</v>
      </c>
    </row>
    <row r="2668" spans="1:17" x14ac:dyDescent="0.25">
      <c r="A2668">
        <v>5</v>
      </c>
      <c r="Q2668">
        <v>7.5</v>
      </c>
    </row>
    <row r="2669" spans="1:17" x14ac:dyDescent="0.25">
      <c r="A2669">
        <v>5.25</v>
      </c>
      <c r="Q2669">
        <v>9</v>
      </c>
    </row>
    <row r="2670" spans="1:17" x14ac:dyDescent="0.25">
      <c r="A2670">
        <v>4.5</v>
      </c>
      <c r="Q2670">
        <v>5.25</v>
      </c>
    </row>
    <row r="2671" spans="1:17" x14ac:dyDescent="0.25">
      <c r="A2671">
        <v>4</v>
      </c>
      <c r="Q2671">
        <v>7.5</v>
      </c>
    </row>
    <row r="2672" spans="1:17" x14ac:dyDescent="0.25">
      <c r="A2672">
        <v>8.75</v>
      </c>
      <c r="Q2672">
        <v>6</v>
      </c>
    </row>
    <row r="2673" spans="1:17" x14ac:dyDescent="0.25">
      <c r="A2673">
        <v>5</v>
      </c>
      <c r="Q2673">
        <v>7.5</v>
      </c>
    </row>
    <row r="2674" spans="1:17" x14ac:dyDescent="0.25">
      <c r="A2674">
        <v>5</v>
      </c>
      <c r="Q2674">
        <v>7.5</v>
      </c>
    </row>
    <row r="2675" spans="1:17" x14ac:dyDescent="0.25">
      <c r="A2675">
        <v>5</v>
      </c>
      <c r="Q2675">
        <v>7.5</v>
      </c>
    </row>
    <row r="2676" spans="1:17" x14ac:dyDescent="0.25">
      <c r="A2676">
        <v>3.5</v>
      </c>
      <c r="Q2676">
        <v>4.5</v>
      </c>
    </row>
    <row r="2677" spans="1:17" x14ac:dyDescent="0.25">
      <c r="A2677">
        <v>2</v>
      </c>
      <c r="Q2677">
        <v>6</v>
      </c>
    </row>
    <row r="2678" spans="1:17" x14ac:dyDescent="0.25">
      <c r="A2678">
        <v>5</v>
      </c>
      <c r="Q2678">
        <v>7.5</v>
      </c>
    </row>
    <row r="2679" spans="1:17" x14ac:dyDescent="0.25">
      <c r="A2679">
        <v>7.25</v>
      </c>
      <c r="Q2679">
        <v>7.5</v>
      </c>
    </row>
    <row r="2680" spans="1:17" x14ac:dyDescent="0.25">
      <c r="A2680">
        <v>5</v>
      </c>
      <c r="Q2680">
        <v>8.25</v>
      </c>
    </row>
    <row r="2681" spans="1:17" x14ac:dyDescent="0.25">
      <c r="A2681">
        <v>10</v>
      </c>
      <c r="Q2681">
        <v>2.25</v>
      </c>
    </row>
    <row r="2682" spans="1:17" x14ac:dyDescent="0.25">
      <c r="A2682">
        <v>5</v>
      </c>
      <c r="Q2682">
        <v>6</v>
      </c>
    </row>
    <row r="2683" spans="1:17" x14ac:dyDescent="0.25">
      <c r="A2683">
        <v>6.5</v>
      </c>
      <c r="Q2683">
        <v>7.5</v>
      </c>
    </row>
    <row r="2684" spans="1:17" x14ac:dyDescent="0.25">
      <c r="A2684">
        <v>2.5</v>
      </c>
      <c r="Q2684">
        <v>7.875</v>
      </c>
    </row>
    <row r="2685" spans="1:17" x14ac:dyDescent="0.25">
      <c r="A2685">
        <v>5</v>
      </c>
      <c r="Q2685">
        <v>6</v>
      </c>
    </row>
    <row r="2686" spans="1:17" x14ac:dyDescent="0.25">
      <c r="A2686">
        <v>5</v>
      </c>
      <c r="Q2686">
        <v>7.5</v>
      </c>
    </row>
    <row r="2687" spans="1:17" x14ac:dyDescent="0.25">
      <c r="A2687">
        <v>6.5</v>
      </c>
      <c r="Q2687">
        <v>7.5</v>
      </c>
    </row>
    <row r="2688" spans="1:17" x14ac:dyDescent="0.25">
      <c r="A2688">
        <v>5</v>
      </c>
      <c r="Q2688">
        <v>7.5</v>
      </c>
    </row>
    <row r="2689" spans="1:17" x14ac:dyDescent="0.25">
      <c r="A2689">
        <v>10</v>
      </c>
      <c r="Q2689">
        <v>7.5</v>
      </c>
    </row>
    <row r="2690" spans="1:17" x14ac:dyDescent="0.25">
      <c r="A2690">
        <v>6.5</v>
      </c>
      <c r="Q2690">
        <v>7.5</v>
      </c>
    </row>
    <row r="2691" spans="1:17" x14ac:dyDescent="0.25">
      <c r="A2691">
        <v>5</v>
      </c>
      <c r="Q2691">
        <v>8.25</v>
      </c>
    </row>
    <row r="2692" spans="1:17" x14ac:dyDescent="0.25">
      <c r="A2692">
        <v>5</v>
      </c>
      <c r="Q2692">
        <v>5</v>
      </c>
    </row>
    <row r="2693" spans="1:17" x14ac:dyDescent="0.25">
      <c r="A2693">
        <v>5</v>
      </c>
      <c r="Q2693">
        <v>7.5</v>
      </c>
    </row>
    <row r="2694" spans="1:17" x14ac:dyDescent="0.25">
      <c r="A2694">
        <v>5.25</v>
      </c>
      <c r="Q2694">
        <v>10.5</v>
      </c>
    </row>
    <row r="2695" spans="1:17" x14ac:dyDescent="0.25">
      <c r="A2695">
        <v>5</v>
      </c>
      <c r="Q2695">
        <v>7.5</v>
      </c>
    </row>
    <row r="2696" spans="1:17" x14ac:dyDescent="0.25">
      <c r="A2696">
        <v>2.5</v>
      </c>
      <c r="Q2696">
        <v>7.5</v>
      </c>
    </row>
    <row r="2697" spans="1:17" x14ac:dyDescent="0.25">
      <c r="A2697">
        <v>7</v>
      </c>
      <c r="Q2697">
        <v>7.5</v>
      </c>
    </row>
    <row r="2698" spans="1:17" x14ac:dyDescent="0.25">
      <c r="A2698">
        <v>10</v>
      </c>
      <c r="Q2698">
        <v>7.5</v>
      </c>
    </row>
    <row r="2699" spans="1:17" x14ac:dyDescent="0.25">
      <c r="A2699">
        <v>5</v>
      </c>
      <c r="Q2699">
        <v>7.5</v>
      </c>
    </row>
    <row r="2700" spans="1:17" x14ac:dyDescent="0.25">
      <c r="A2700">
        <v>5</v>
      </c>
      <c r="Q2700">
        <v>7.5</v>
      </c>
    </row>
    <row r="2701" spans="1:17" x14ac:dyDescent="0.25">
      <c r="A2701">
        <v>5</v>
      </c>
      <c r="Q2701">
        <v>7.5</v>
      </c>
    </row>
    <row r="2702" spans="1:17" x14ac:dyDescent="0.25">
      <c r="A2702">
        <v>7</v>
      </c>
      <c r="Q2702">
        <v>1.5</v>
      </c>
    </row>
    <row r="2703" spans="1:17" x14ac:dyDescent="0.25">
      <c r="A2703">
        <v>5</v>
      </c>
      <c r="Q2703">
        <v>10.5</v>
      </c>
    </row>
    <row r="2704" spans="1:17" x14ac:dyDescent="0.25">
      <c r="A2704">
        <v>2</v>
      </c>
      <c r="Q2704">
        <v>4</v>
      </c>
    </row>
    <row r="2705" spans="1:17" x14ac:dyDescent="0.25">
      <c r="A2705">
        <v>5</v>
      </c>
      <c r="Q2705">
        <v>1</v>
      </c>
    </row>
    <row r="2706" spans="1:17" x14ac:dyDescent="0.25">
      <c r="A2706">
        <v>4.5</v>
      </c>
      <c r="Q2706">
        <v>3.25</v>
      </c>
    </row>
    <row r="2707" spans="1:17" x14ac:dyDescent="0.25">
      <c r="A2707">
        <v>2</v>
      </c>
      <c r="Q2707">
        <v>6.25</v>
      </c>
    </row>
    <row r="2708" spans="1:17" x14ac:dyDescent="0.25">
      <c r="A2708">
        <v>5</v>
      </c>
      <c r="Q2708">
        <v>5</v>
      </c>
    </row>
    <row r="2709" spans="1:17" x14ac:dyDescent="0.25">
      <c r="A2709">
        <v>5</v>
      </c>
      <c r="Q2709">
        <v>5</v>
      </c>
    </row>
    <row r="2710" spans="1:17" x14ac:dyDescent="0.25">
      <c r="A2710">
        <v>5</v>
      </c>
      <c r="Q2710">
        <v>5</v>
      </c>
    </row>
    <row r="2711" spans="1:17" x14ac:dyDescent="0.25">
      <c r="A2711">
        <v>9.75</v>
      </c>
      <c r="Q2711">
        <v>4.25</v>
      </c>
    </row>
    <row r="2712" spans="1:17" x14ac:dyDescent="0.25">
      <c r="A2712">
        <v>5.5</v>
      </c>
      <c r="Q2712">
        <v>5</v>
      </c>
    </row>
    <row r="2713" spans="1:17" x14ac:dyDescent="0.25">
      <c r="A2713">
        <v>3</v>
      </c>
      <c r="Q2713">
        <v>4.125</v>
      </c>
    </row>
    <row r="2714" spans="1:17" x14ac:dyDescent="0.25">
      <c r="A2714">
        <v>5</v>
      </c>
      <c r="Q2714">
        <v>5.25</v>
      </c>
    </row>
    <row r="2715" spans="1:17" x14ac:dyDescent="0.25">
      <c r="A2715">
        <v>3</v>
      </c>
      <c r="Q2715">
        <v>5</v>
      </c>
    </row>
    <row r="2716" spans="1:17" x14ac:dyDescent="0.25">
      <c r="A2716">
        <v>5</v>
      </c>
      <c r="Q2716">
        <v>7.25</v>
      </c>
    </row>
    <row r="2717" spans="1:17" x14ac:dyDescent="0.25">
      <c r="A2717">
        <v>7.25</v>
      </c>
      <c r="Q2717">
        <v>3</v>
      </c>
    </row>
    <row r="2718" spans="1:17" x14ac:dyDescent="0.25">
      <c r="A2718">
        <v>5</v>
      </c>
      <c r="Q2718">
        <v>5</v>
      </c>
    </row>
    <row r="2719" spans="1:17" x14ac:dyDescent="0.25">
      <c r="A2719">
        <v>5</v>
      </c>
      <c r="Q2719">
        <v>5</v>
      </c>
    </row>
    <row r="2720" spans="1:17" x14ac:dyDescent="0.25">
      <c r="A2720">
        <v>1.75</v>
      </c>
      <c r="Q2720">
        <v>5</v>
      </c>
    </row>
    <row r="2721" spans="1:17" x14ac:dyDescent="0.25">
      <c r="A2721">
        <v>9</v>
      </c>
      <c r="Q2721">
        <v>5</v>
      </c>
    </row>
    <row r="2722" spans="1:17" x14ac:dyDescent="0.25">
      <c r="A2722">
        <v>5</v>
      </c>
      <c r="Q2722">
        <v>7</v>
      </c>
    </row>
    <row r="2723" spans="1:17" x14ac:dyDescent="0.25">
      <c r="A2723">
        <v>5</v>
      </c>
      <c r="Q2723">
        <v>5</v>
      </c>
    </row>
    <row r="2724" spans="1:17" x14ac:dyDescent="0.25">
      <c r="A2724">
        <v>5</v>
      </c>
      <c r="Q2724">
        <v>5.75</v>
      </c>
    </row>
    <row r="2725" spans="1:17" x14ac:dyDescent="0.25">
      <c r="A2725">
        <v>3.5</v>
      </c>
      <c r="Q2725">
        <v>6.25</v>
      </c>
    </row>
    <row r="2726" spans="1:17" x14ac:dyDescent="0.25">
      <c r="A2726">
        <v>5</v>
      </c>
      <c r="Q2726">
        <v>5</v>
      </c>
    </row>
    <row r="2727" spans="1:17" x14ac:dyDescent="0.25">
      <c r="A2727">
        <v>5.75</v>
      </c>
      <c r="Q2727">
        <v>3</v>
      </c>
    </row>
    <row r="2728" spans="1:17" x14ac:dyDescent="0.25">
      <c r="A2728">
        <v>5</v>
      </c>
      <c r="Q2728">
        <v>5.25</v>
      </c>
    </row>
    <row r="2729" spans="1:17" x14ac:dyDescent="0.25">
      <c r="A2729">
        <v>4.5</v>
      </c>
      <c r="Q2729">
        <v>5</v>
      </c>
    </row>
    <row r="2730" spans="1:17" x14ac:dyDescent="0.25">
      <c r="A2730">
        <v>3.25</v>
      </c>
      <c r="Q2730">
        <v>3.5</v>
      </c>
    </row>
    <row r="2731" spans="1:17" x14ac:dyDescent="0.25">
      <c r="A2731">
        <v>5</v>
      </c>
      <c r="Q2731">
        <v>3.75</v>
      </c>
    </row>
    <row r="2732" spans="1:17" x14ac:dyDescent="0.25">
      <c r="A2732">
        <v>3</v>
      </c>
      <c r="Q2732">
        <v>2.25</v>
      </c>
    </row>
    <row r="2733" spans="1:17" x14ac:dyDescent="0.25">
      <c r="A2733">
        <v>5</v>
      </c>
      <c r="Q2733">
        <v>2.25</v>
      </c>
    </row>
    <row r="2734" spans="1:17" x14ac:dyDescent="0.25">
      <c r="A2734">
        <v>5.5</v>
      </c>
      <c r="Q2734">
        <v>5.5</v>
      </c>
    </row>
    <row r="2735" spans="1:17" x14ac:dyDescent="0.25">
      <c r="A2735">
        <v>3</v>
      </c>
      <c r="Q2735">
        <v>3</v>
      </c>
    </row>
    <row r="2736" spans="1:17" x14ac:dyDescent="0.25">
      <c r="A2736">
        <v>2.5</v>
      </c>
      <c r="Q2736">
        <v>9.75</v>
      </c>
    </row>
    <row r="2737" spans="1:17" x14ac:dyDescent="0.25">
      <c r="A2737">
        <v>5</v>
      </c>
      <c r="Q2737">
        <v>7.5</v>
      </c>
    </row>
    <row r="2738" spans="1:17" x14ac:dyDescent="0.25">
      <c r="A2738">
        <v>5</v>
      </c>
      <c r="Q2738">
        <v>3</v>
      </c>
    </row>
    <row r="2739" spans="1:17" x14ac:dyDescent="0.25">
      <c r="A2739">
        <v>5</v>
      </c>
      <c r="Q2739">
        <v>7.5</v>
      </c>
    </row>
    <row r="2740" spans="1:17" x14ac:dyDescent="0.25">
      <c r="A2740">
        <v>3</v>
      </c>
      <c r="Q2740">
        <v>7.5</v>
      </c>
    </row>
    <row r="2741" spans="1:17" x14ac:dyDescent="0.25">
      <c r="A2741">
        <v>7</v>
      </c>
      <c r="Q2741">
        <v>5</v>
      </c>
    </row>
    <row r="2742" spans="1:17" x14ac:dyDescent="0.25">
      <c r="A2742">
        <v>5</v>
      </c>
      <c r="Q2742">
        <v>7.5</v>
      </c>
    </row>
    <row r="2743" spans="1:17" x14ac:dyDescent="0.25">
      <c r="A2743">
        <v>3.5</v>
      </c>
      <c r="Q2743">
        <v>7.5</v>
      </c>
    </row>
    <row r="2744" spans="1:17" x14ac:dyDescent="0.25">
      <c r="A2744">
        <v>0.5</v>
      </c>
      <c r="Q2744">
        <v>6</v>
      </c>
    </row>
    <row r="2745" spans="1:17" x14ac:dyDescent="0.25">
      <c r="A2745">
        <v>5</v>
      </c>
      <c r="Q2745">
        <v>7.125</v>
      </c>
    </row>
    <row r="2746" spans="1:17" x14ac:dyDescent="0.25">
      <c r="A2746">
        <v>3</v>
      </c>
      <c r="Q2746">
        <v>7.5</v>
      </c>
    </row>
    <row r="2747" spans="1:17" x14ac:dyDescent="0.25">
      <c r="A2747">
        <v>2.75</v>
      </c>
      <c r="Q2747">
        <v>7.5</v>
      </c>
    </row>
    <row r="2748" spans="1:17" x14ac:dyDescent="0.25">
      <c r="A2748">
        <v>5</v>
      </c>
      <c r="Q2748">
        <v>8.25</v>
      </c>
    </row>
    <row r="2749" spans="1:17" x14ac:dyDescent="0.25">
      <c r="A2749">
        <v>10</v>
      </c>
      <c r="Q2749">
        <v>7.875</v>
      </c>
    </row>
    <row r="2750" spans="1:17" x14ac:dyDescent="0.25">
      <c r="A2750">
        <v>3</v>
      </c>
      <c r="Q2750">
        <v>5</v>
      </c>
    </row>
    <row r="2751" spans="1:17" x14ac:dyDescent="0.25">
      <c r="A2751">
        <v>5</v>
      </c>
      <c r="Q2751">
        <v>1.5</v>
      </c>
    </row>
    <row r="2752" spans="1:17" x14ac:dyDescent="0.25">
      <c r="A2752">
        <v>7</v>
      </c>
      <c r="Q2752">
        <v>0.75</v>
      </c>
    </row>
    <row r="2753" spans="1:17" x14ac:dyDescent="0.25">
      <c r="A2753">
        <v>2.25</v>
      </c>
      <c r="Q2753">
        <v>10.125</v>
      </c>
    </row>
    <row r="2754" spans="1:17" x14ac:dyDescent="0.25">
      <c r="A2754">
        <v>5</v>
      </c>
      <c r="Q2754">
        <v>5.625</v>
      </c>
    </row>
    <row r="2755" spans="1:17" x14ac:dyDescent="0.25">
      <c r="A2755">
        <v>5</v>
      </c>
      <c r="Q2755">
        <v>7.5</v>
      </c>
    </row>
    <row r="2756" spans="1:17" x14ac:dyDescent="0.25">
      <c r="A2756">
        <v>5</v>
      </c>
      <c r="Q2756">
        <v>9.75</v>
      </c>
    </row>
    <row r="2757" spans="1:17" x14ac:dyDescent="0.25">
      <c r="A2757">
        <v>5</v>
      </c>
      <c r="Q2757">
        <v>3</v>
      </c>
    </row>
    <row r="2758" spans="1:17" x14ac:dyDescent="0.25">
      <c r="A2758">
        <v>4</v>
      </c>
      <c r="Q2758">
        <v>4.875</v>
      </c>
    </row>
    <row r="2759" spans="1:17" x14ac:dyDescent="0.25">
      <c r="A2759">
        <v>5.25</v>
      </c>
      <c r="Q2759">
        <v>1</v>
      </c>
    </row>
    <row r="2760" spans="1:17" x14ac:dyDescent="0.25">
      <c r="A2760">
        <v>5.25</v>
      </c>
      <c r="Q2760">
        <v>5</v>
      </c>
    </row>
    <row r="2761" spans="1:17" x14ac:dyDescent="0.25">
      <c r="A2761">
        <v>5</v>
      </c>
      <c r="Q2761">
        <v>1</v>
      </c>
    </row>
    <row r="2762" spans="1:17" x14ac:dyDescent="0.25">
      <c r="A2762">
        <v>5</v>
      </c>
      <c r="Q2762">
        <v>7.5</v>
      </c>
    </row>
    <row r="2763" spans="1:17" x14ac:dyDescent="0.25">
      <c r="A2763">
        <v>5</v>
      </c>
      <c r="Q2763">
        <v>7.875</v>
      </c>
    </row>
    <row r="2764" spans="1:17" x14ac:dyDescent="0.25">
      <c r="A2764">
        <v>5</v>
      </c>
      <c r="Q2764">
        <v>5</v>
      </c>
    </row>
    <row r="2765" spans="1:17" x14ac:dyDescent="0.25">
      <c r="A2765">
        <v>5</v>
      </c>
      <c r="Q2765">
        <v>7.5</v>
      </c>
    </row>
    <row r="2766" spans="1:17" x14ac:dyDescent="0.25">
      <c r="A2766">
        <v>5</v>
      </c>
      <c r="Q2766">
        <v>5.25</v>
      </c>
    </row>
    <row r="2767" spans="1:17" x14ac:dyDescent="0.25">
      <c r="A2767">
        <v>1.5</v>
      </c>
      <c r="Q2767">
        <v>2.5</v>
      </c>
    </row>
    <row r="2768" spans="1:17" x14ac:dyDescent="0.25">
      <c r="A2768">
        <v>5</v>
      </c>
      <c r="Q2768">
        <v>4.5</v>
      </c>
    </row>
    <row r="2769" spans="1:17" x14ac:dyDescent="0.25">
      <c r="A2769">
        <v>4</v>
      </c>
      <c r="Q2769">
        <v>7.5</v>
      </c>
    </row>
    <row r="2770" spans="1:17" x14ac:dyDescent="0.25">
      <c r="A2770">
        <v>6.5</v>
      </c>
      <c r="Q2770">
        <v>4.125</v>
      </c>
    </row>
    <row r="2771" spans="1:17" x14ac:dyDescent="0.25">
      <c r="A2771">
        <v>2</v>
      </c>
      <c r="Q2771">
        <v>2.25</v>
      </c>
    </row>
    <row r="2772" spans="1:17" x14ac:dyDescent="0.25">
      <c r="A2772">
        <v>5</v>
      </c>
      <c r="Q2772">
        <v>3.75</v>
      </c>
    </row>
    <row r="2773" spans="1:17" x14ac:dyDescent="0.25">
      <c r="A2773">
        <v>4.75</v>
      </c>
      <c r="Q2773">
        <v>5</v>
      </c>
    </row>
    <row r="2774" spans="1:17" x14ac:dyDescent="0.25">
      <c r="A2774">
        <v>5</v>
      </c>
      <c r="Q2774">
        <v>8.625</v>
      </c>
    </row>
    <row r="2775" spans="1:17" x14ac:dyDescent="0.25">
      <c r="A2775">
        <v>5</v>
      </c>
      <c r="Q2775">
        <v>3.375</v>
      </c>
    </row>
    <row r="2776" spans="1:17" x14ac:dyDescent="0.25">
      <c r="A2776">
        <v>8</v>
      </c>
      <c r="Q2776">
        <v>7.5</v>
      </c>
    </row>
    <row r="2777" spans="1:17" x14ac:dyDescent="0.25">
      <c r="A2777">
        <v>5</v>
      </c>
      <c r="Q2777">
        <v>14.25</v>
      </c>
    </row>
    <row r="2778" spans="1:17" x14ac:dyDescent="0.25">
      <c r="A2778">
        <v>3.5</v>
      </c>
      <c r="Q2778">
        <v>5</v>
      </c>
    </row>
    <row r="2779" spans="1:17" x14ac:dyDescent="0.25">
      <c r="A2779">
        <v>5</v>
      </c>
      <c r="Q2779">
        <v>3</v>
      </c>
    </row>
    <row r="2780" spans="1:17" x14ac:dyDescent="0.25">
      <c r="A2780">
        <v>5</v>
      </c>
      <c r="Q2780">
        <v>7.5</v>
      </c>
    </row>
    <row r="2781" spans="1:17" x14ac:dyDescent="0.25">
      <c r="A2781">
        <v>5</v>
      </c>
      <c r="Q2781">
        <v>7.5</v>
      </c>
    </row>
    <row r="2782" spans="1:17" x14ac:dyDescent="0.25">
      <c r="A2782">
        <v>10</v>
      </c>
      <c r="Q2782">
        <v>5.25</v>
      </c>
    </row>
    <row r="2783" spans="1:17" x14ac:dyDescent="0.25">
      <c r="A2783">
        <v>5</v>
      </c>
      <c r="Q2783">
        <v>5.625</v>
      </c>
    </row>
    <row r="2784" spans="1:17" x14ac:dyDescent="0.25">
      <c r="A2784">
        <v>5</v>
      </c>
      <c r="Q2784">
        <v>1.5</v>
      </c>
    </row>
    <row r="2785" spans="1:17" x14ac:dyDescent="0.25">
      <c r="A2785">
        <v>4</v>
      </c>
      <c r="Q2785">
        <v>6.75</v>
      </c>
    </row>
    <row r="2786" spans="1:17" x14ac:dyDescent="0.25">
      <c r="A2786">
        <v>4.25</v>
      </c>
      <c r="Q2786">
        <v>7.5</v>
      </c>
    </row>
    <row r="2787" spans="1:17" x14ac:dyDescent="0.25">
      <c r="A2787">
        <v>5</v>
      </c>
      <c r="Q2787">
        <v>9.75</v>
      </c>
    </row>
    <row r="2788" spans="1:17" x14ac:dyDescent="0.25">
      <c r="A2788">
        <v>5</v>
      </c>
      <c r="Q2788">
        <v>5.625</v>
      </c>
    </row>
    <row r="2789" spans="1:17" x14ac:dyDescent="0.25">
      <c r="A2789">
        <v>5</v>
      </c>
      <c r="Q2789">
        <v>7.875</v>
      </c>
    </row>
    <row r="2790" spans="1:17" x14ac:dyDescent="0.25">
      <c r="A2790">
        <v>4</v>
      </c>
      <c r="Q2790">
        <v>0.375</v>
      </c>
    </row>
    <row r="2791" spans="1:17" x14ac:dyDescent="0.25">
      <c r="A2791">
        <v>5</v>
      </c>
      <c r="Q2791">
        <v>0.75</v>
      </c>
    </row>
    <row r="2792" spans="1:17" x14ac:dyDescent="0.25">
      <c r="A2792">
        <v>5</v>
      </c>
      <c r="Q2792">
        <v>5</v>
      </c>
    </row>
    <row r="2793" spans="1:17" x14ac:dyDescent="0.25">
      <c r="A2793">
        <v>5</v>
      </c>
      <c r="Q2793">
        <v>7.5</v>
      </c>
    </row>
    <row r="2794" spans="1:17" x14ac:dyDescent="0.25">
      <c r="A2794">
        <v>5</v>
      </c>
      <c r="Q2794">
        <v>7.875</v>
      </c>
    </row>
    <row r="2795" spans="1:17" x14ac:dyDescent="0.25">
      <c r="A2795">
        <v>5.75</v>
      </c>
      <c r="Q2795">
        <v>0.25</v>
      </c>
    </row>
    <row r="2796" spans="1:17" x14ac:dyDescent="0.25">
      <c r="A2796">
        <v>5</v>
      </c>
      <c r="Q2796">
        <v>6</v>
      </c>
    </row>
    <row r="2797" spans="1:17" x14ac:dyDescent="0.25">
      <c r="A2797">
        <v>3.5</v>
      </c>
      <c r="Q2797">
        <v>0.75</v>
      </c>
    </row>
    <row r="2798" spans="1:17" x14ac:dyDescent="0.25">
      <c r="A2798">
        <v>3.25</v>
      </c>
      <c r="Q2798">
        <v>4.75</v>
      </c>
    </row>
    <row r="2799" spans="1:17" x14ac:dyDescent="0.25">
      <c r="A2799">
        <v>5</v>
      </c>
      <c r="Q2799">
        <v>7.125</v>
      </c>
    </row>
    <row r="2800" spans="1:17" x14ac:dyDescent="0.25">
      <c r="A2800">
        <v>3</v>
      </c>
      <c r="Q2800">
        <v>0.25</v>
      </c>
    </row>
    <row r="2801" spans="1:17" x14ac:dyDescent="0.25">
      <c r="A2801">
        <v>5</v>
      </c>
      <c r="Q2801">
        <v>7.5</v>
      </c>
    </row>
    <row r="2802" spans="1:17" x14ac:dyDescent="0.25">
      <c r="A2802">
        <v>4</v>
      </c>
      <c r="Q2802">
        <v>7.5</v>
      </c>
    </row>
    <row r="2803" spans="1:17" x14ac:dyDescent="0.25">
      <c r="A2803">
        <v>1</v>
      </c>
      <c r="Q2803">
        <v>5.25</v>
      </c>
    </row>
    <row r="2804" spans="1:17" x14ac:dyDescent="0.25">
      <c r="A2804">
        <v>5</v>
      </c>
      <c r="Q2804">
        <v>0.75</v>
      </c>
    </row>
    <row r="2805" spans="1:17" x14ac:dyDescent="0.25">
      <c r="A2805">
        <v>5</v>
      </c>
      <c r="Q2805">
        <v>2.75</v>
      </c>
    </row>
    <row r="2806" spans="1:17" x14ac:dyDescent="0.25">
      <c r="A2806">
        <v>5</v>
      </c>
      <c r="Q2806">
        <v>0.5</v>
      </c>
    </row>
    <row r="2807" spans="1:17" x14ac:dyDescent="0.25">
      <c r="A2807">
        <v>7.25</v>
      </c>
      <c r="Q2807">
        <v>7.5</v>
      </c>
    </row>
    <row r="2808" spans="1:17" x14ac:dyDescent="0.25">
      <c r="A2808">
        <v>5</v>
      </c>
      <c r="Q2808">
        <v>7.5</v>
      </c>
    </row>
    <row r="2809" spans="1:17" x14ac:dyDescent="0.25">
      <c r="A2809">
        <v>5.25</v>
      </c>
      <c r="Q2809">
        <v>4.5</v>
      </c>
    </row>
    <row r="2810" spans="1:17" x14ac:dyDescent="0.25">
      <c r="A2810">
        <v>1</v>
      </c>
      <c r="Q2810">
        <v>7.875</v>
      </c>
    </row>
    <row r="2811" spans="1:17" x14ac:dyDescent="0.25">
      <c r="A2811">
        <v>5</v>
      </c>
      <c r="Q2811">
        <v>7.5</v>
      </c>
    </row>
    <row r="2812" spans="1:17" x14ac:dyDescent="0.25">
      <c r="A2812">
        <v>5</v>
      </c>
      <c r="Q2812">
        <v>13.5</v>
      </c>
    </row>
    <row r="2813" spans="1:17" x14ac:dyDescent="0.25">
      <c r="A2813">
        <v>5</v>
      </c>
      <c r="Q2813">
        <v>7.5</v>
      </c>
    </row>
    <row r="2814" spans="1:17" x14ac:dyDescent="0.25">
      <c r="A2814">
        <v>5</v>
      </c>
      <c r="Q2814">
        <v>3.75</v>
      </c>
    </row>
    <row r="2815" spans="1:17" x14ac:dyDescent="0.25">
      <c r="A2815">
        <v>6.5</v>
      </c>
      <c r="Q2815">
        <v>7.5</v>
      </c>
    </row>
    <row r="2816" spans="1:17" x14ac:dyDescent="0.25">
      <c r="A2816">
        <v>5</v>
      </c>
      <c r="Q2816">
        <v>3.75</v>
      </c>
    </row>
    <row r="2817" spans="1:17" x14ac:dyDescent="0.25">
      <c r="A2817">
        <v>6.5</v>
      </c>
      <c r="Q2817">
        <v>7.5</v>
      </c>
    </row>
    <row r="2818" spans="1:17" x14ac:dyDescent="0.25">
      <c r="A2818">
        <v>5</v>
      </c>
      <c r="Q2818">
        <v>7.5</v>
      </c>
    </row>
    <row r="2819" spans="1:17" x14ac:dyDescent="0.25">
      <c r="A2819">
        <v>5</v>
      </c>
      <c r="Q2819">
        <v>7.5</v>
      </c>
    </row>
    <row r="2820" spans="1:17" x14ac:dyDescent="0.25">
      <c r="A2820">
        <v>5</v>
      </c>
      <c r="Q2820">
        <v>9.75</v>
      </c>
    </row>
    <row r="2821" spans="1:17" x14ac:dyDescent="0.25">
      <c r="A2821">
        <v>5</v>
      </c>
      <c r="Q2821">
        <v>7.5</v>
      </c>
    </row>
    <row r="2822" spans="1:17" x14ac:dyDescent="0.25">
      <c r="A2822">
        <v>5</v>
      </c>
      <c r="Q2822">
        <v>4.25</v>
      </c>
    </row>
    <row r="2823" spans="1:17" x14ac:dyDescent="0.25">
      <c r="A2823">
        <v>5</v>
      </c>
      <c r="Q2823">
        <v>7.5</v>
      </c>
    </row>
    <row r="2824" spans="1:17" x14ac:dyDescent="0.25">
      <c r="A2824">
        <v>5</v>
      </c>
      <c r="Q2824">
        <v>7.5</v>
      </c>
    </row>
    <row r="2825" spans="1:17" x14ac:dyDescent="0.25">
      <c r="A2825">
        <v>5</v>
      </c>
      <c r="Q2825">
        <v>6</v>
      </c>
    </row>
    <row r="2826" spans="1:17" x14ac:dyDescent="0.25">
      <c r="A2826">
        <v>5</v>
      </c>
      <c r="Q2826">
        <v>13.125</v>
      </c>
    </row>
    <row r="2827" spans="1:17" x14ac:dyDescent="0.25">
      <c r="A2827">
        <v>9</v>
      </c>
      <c r="Q2827">
        <v>10.125</v>
      </c>
    </row>
    <row r="2828" spans="1:17" x14ac:dyDescent="0.25">
      <c r="A2828">
        <v>5</v>
      </c>
      <c r="Q2828">
        <v>2.625</v>
      </c>
    </row>
    <row r="2829" spans="1:17" x14ac:dyDescent="0.25">
      <c r="A2829">
        <v>5</v>
      </c>
      <c r="Q2829">
        <v>7.5</v>
      </c>
    </row>
    <row r="2830" spans="1:17" x14ac:dyDescent="0.25">
      <c r="A2830">
        <v>4</v>
      </c>
      <c r="Q2830">
        <v>3</v>
      </c>
    </row>
    <row r="2831" spans="1:17" x14ac:dyDescent="0.25">
      <c r="A2831">
        <v>5</v>
      </c>
      <c r="Q2831">
        <v>7.5</v>
      </c>
    </row>
    <row r="2832" spans="1:17" x14ac:dyDescent="0.25">
      <c r="A2832">
        <v>4</v>
      </c>
      <c r="Q2832">
        <v>7.5</v>
      </c>
    </row>
    <row r="2833" spans="1:17" x14ac:dyDescent="0.25">
      <c r="A2833">
        <v>5</v>
      </c>
      <c r="Q2833">
        <v>7.875</v>
      </c>
    </row>
    <row r="2834" spans="1:17" x14ac:dyDescent="0.25">
      <c r="A2834">
        <v>8.5</v>
      </c>
      <c r="Q2834">
        <v>3</v>
      </c>
    </row>
    <row r="2835" spans="1:17" x14ac:dyDescent="0.25">
      <c r="A2835">
        <v>5</v>
      </c>
      <c r="Q2835">
        <v>7.5</v>
      </c>
    </row>
    <row r="2836" spans="1:17" x14ac:dyDescent="0.25">
      <c r="A2836">
        <v>3.5</v>
      </c>
      <c r="Q2836">
        <v>2.5</v>
      </c>
    </row>
    <row r="2837" spans="1:17" x14ac:dyDescent="0.25">
      <c r="A2837">
        <v>1</v>
      </c>
      <c r="Q2837">
        <v>5</v>
      </c>
    </row>
    <row r="2838" spans="1:17" x14ac:dyDescent="0.25">
      <c r="A2838">
        <v>5</v>
      </c>
      <c r="Q2838">
        <v>5</v>
      </c>
    </row>
    <row r="2839" spans="1:17" x14ac:dyDescent="0.25">
      <c r="A2839">
        <v>5</v>
      </c>
      <c r="Q2839">
        <v>7.5</v>
      </c>
    </row>
    <row r="2840" spans="1:17" x14ac:dyDescent="0.25">
      <c r="A2840">
        <v>8</v>
      </c>
      <c r="Q2840">
        <v>7.5</v>
      </c>
    </row>
    <row r="2841" spans="1:17" x14ac:dyDescent="0.25">
      <c r="A2841">
        <v>4.25</v>
      </c>
      <c r="Q2841">
        <v>7.5</v>
      </c>
    </row>
    <row r="2842" spans="1:17" x14ac:dyDescent="0.25">
      <c r="A2842">
        <v>7.5</v>
      </c>
      <c r="Q2842">
        <v>8.625</v>
      </c>
    </row>
    <row r="2843" spans="1:17" x14ac:dyDescent="0.25">
      <c r="A2843">
        <v>9</v>
      </c>
      <c r="Q2843">
        <v>7.125</v>
      </c>
    </row>
    <row r="2844" spans="1:17" x14ac:dyDescent="0.25">
      <c r="A2844">
        <v>3</v>
      </c>
      <c r="Q2844">
        <v>1.875</v>
      </c>
    </row>
    <row r="2845" spans="1:17" x14ac:dyDescent="0.25">
      <c r="A2845">
        <v>5.25</v>
      </c>
      <c r="Q2845">
        <v>3.75</v>
      </c>
    </row>
    <row r="2846" spans="1:17" x14ac:dyDescent="0.25">
      <c r="A2846">
        <v>7.5</v>
      </c>
      <c r="Q2846">
        <v>3.375</v>
      </c>
    </row>
    <row r="2847" spans="1:17" x14ac:dyDescent="0.25">
      <c r="A2847">
        <v>0.375</v>
      </c>
      <c r="Q2847">
        <v>0.375</v>
      </c>
    </row>
    <row r="2848" spans="1:17" x14ac:dyDescent="0.25">
      <c r="A2848">
        <v>6</v>
      </c>
      <c r="Q2848">
        <v>7.5</v>
      </c>
    </row>
    <row r="2849" spans="1:17" x14ac:dyDescent="0.25">
      <c r="A2849">
        <v>7.5</v>
      </c>
      <c r="Q2849">
        <v>5.25</v>
      </c>
    </row>
    <row r="2850" spans="1:17" x14ac:dyDescent="0.25">
      <c r="A2850">
        <v>7.5</v>
      </c>
      <c r="Q2850">
        <v>3.375</v>
      </c>
    </row>
    <row r="2851" spans="1:17" x14ac:dyDescent="0.25">
      <c r="A2851">
        <v>7.5</v>
      </c>
      <c r="Q2851">
        <v>7.5</v>
      </c>
    </row>
    <row r="2852" spans="1:17" x14ac:dyDescent="0.25">
      <c r="A2852">
        <v>12</v>
      </c>
      <c r="Q2852">
        <v>8.25</v>
      </c>
    </row>
    <row r="2853" spans="1:17" x14ac:dyDescent="0.25">
      <c r="A2853">
        <v>7.5</v>
      </c>
      <c r="Q2853">
        <v>8.625</v>
      </c>
    </row>
    <row r="2854" spans="1:17" x14ac:dyDescent="0.25">
      <c r="A2854">
        <v>4.5</v>
      </c>
      <c r="Q2854">
        <v>3.25</v>
      </c>
    </row>
    <row r="2855" spans="1:17" x14ac:dyDescent="0.25">
      <c r="A2855">
        <v>6</v>
      </c>
      <c r="Q2855">
        <v>10.875</v>
      </c>
    </row>
    <row r="2856" spans="1:17" x14ac:dyDescent="0.25">
      <c r="A2856">
        <v>4</v>
      </c>
      <c r="Q2856">
        <v>6.375</v>
      </c>
    </row>
    <row r="2857" spans="1:17" x14ac:dyDescent="0.25">
      <c r="A2857">
        <v>7.5</v>
      </c>
      <c r="Q2857">
        <v>7.125</v>
      </c>
    </row>
    <row r="2858" spans="1:17" x14ac:dyDescent="0.25">
      <c r="A2858">
        <v>7.5</v>
      </c>
      <c r="Q2858">
        <v>6.75</v>
      </c>
    </row>
    <row r="2859" spans="1:17" x14ac:dyDescent="0.25">
      <c r="A2859">
        <v>11.625</v>
      </c>
      <c r="Q2859">
        <v>7.5</v>
      </c>
    </row>
    <row r="2860" spans="1:17" x14ac:dyDescent="0.25">
      <c r="A2860">
        <v>7.5</v>
      </c>
      <c r="Q2860">
        <v>9</v>
      </c>
    </row>
    <row r="2861" spans="1:17" x14ac:dyDescent="0.25">
      <c r="A2861">
        <v>10.5</v>
      </c>
      <c r="Q2861">
        <v>5</v>
      </c>
    </row>
    <row r="2862" spans="1:17" x14ac:dyDescent="0.25">
      <c r="A2862">
        <v>8.25</v>
      </c>
      <c r="Q2862">
        <v>3</v>
      </c>
    </row>
    <row r="2863" spans="1:17" x14ac:dyDescent="0.25">
      <c r="A2863">
        <v>2.25</v>
      </c>
      <c r="Q2863">
        <v>1</v>
      </c>
    </row>
    <row r="2864" spans="1:17" x14ac:dyDescent="0.25">
      <c r="A2864">
        <v>6</v>
      </c>
      <c r="Q2864">
        <v>7.5</v>
      </c>
    </row>
    <row r="2865" spans="1:17" x14ac:dyDescent="0.25">
      <c r="A2865">
        <v>7.5</v>
      </c>
      <c r="Q2865">
        <v>7.5</v>
      </c>
    </row>
    <row r="2866" spans="1:17" x14ac:dyDescent="0.25">
      <c r="A2866">
        <v>7.5</v>
      </c>
      <c r="Q2866">
        <v>7.125</v>
      </c>
    </row>
    <row r="2867" spans="1:17" x14ac:dyDescent="0.25">
      <c r="A2867">
        <v>7.5</v>
      </c>
      <c r="Q2867">
        <v>7.5</v>
      </c>
    </row>
    <row r="2868" spans="1:17" x14ac:dyDescent="0.25">
      <c r="A2868">
        <v>7.875</v>
      </c>
      <c r="Q2868">
        <v>1.125</v>
      </c>
    </row>
    <row r="2869" spans="1:17" x14ac:dyDescent="0.25">
      <c r="A2869">
        <v>6</v>
      </c>
      <c r="Q2869">
        <v>2.75</v>
      </c>
    </row>
    <row r="2870" spans="1:17" x14ac:dyDescent="0.25">
      <c r="A2870">
        <v>7.5</v>
      </c>
      <c r="Q2870">
        <v>4.5</v>
      </c>
    </row>
    <row r="2871" spans="1:17" x14ac:dyDescent="0.25">
      <c r="A2871">
        <v>7.5</v>
      </c>
      <c r="Q2871">
        <v>7.5</v>
      </c>
    </row>
    <row r="2872" spans="1:17" x14ac:dyDescent="0.25">
      <c r="A2872">
        <v>7.5</v>
      </c>
      <c r="Q2872">
        <v>2</v>
      </c>
    </row>
    <row r="2873" spans="1:17" x14ac:dyDescent="0.25">
      <c r="A2873">
        <v>7.5</v>
      </c>
      <c r="Q2873">
        <v>6</v>
      </c>
    </row>
    <row r="2874" spans="1:17" x14ac:dyDescent="0.25">
      <c r="A2874">
        <v>7.5</v>
      </c>
      <c r="Q2874">
        <v>1</v>
      </c>
    </row>
    <row r="2875" spans="1:17" x14ac:dyDescent="0.25">
      <c r="A2875">
        <v>8.25</v>
      </c>
      <c r="Q2875">
        <v>7.875</v>
      </c>
    </row>
    <row r="2876" spans="1:17" x14ac:dyDescent="0.25">
      <c r="A2876">
        <v>5</v>
      </c>
      <c r="Q2876">
        <v>7.5</v>
      </c>
    </row>
    <row r="2877" spans="1:17" x14ac:dyDescent="0.25">
      <c r="A2877">
        <v>12</v>
      </c>
      <c r="Q2877">
        <v>7.5</v>
      </c>
    </row>
    <row r="2878" spans="1:17" x14ac:dyDescent="0.25">
      <c r="A2878">
        <v>7.5</v>
      </c>
      <c r="Q2878">
        <v>7.5</v>
      </c>
    </row>
    <row r="2879" spans="1:17" x14ac:dyDescent="0.25">
      <c r="A2879">
        <v>7.5</v>
      </c>
      <c r="Q2879">
        <v>7.5</v>
      </c>
    </row>
    <row r="2880" spans="1:17" x14ac:dyDescent="0.25">
      <c r="A2880">
        <v>6</v>
      </c>
      <c r="Q2880">
        <v>7.5</v>
      </c>
    </row>
    <row r="2881" spans="1:17" x14ac:dyDescent="0.25">
      <c r="A2881">
        <v>1.125</v>
      </c>
      <c r="Q2881">
        <v>6.375</v>
      </c>
    </row>
    <row r="2882" spans="1:17" x14ac:dyDescent="0.25">
      <c r="A2882">
        <v>7.5</v>
      </c>
      <c r="Q2882">
        <v>1.125</v>
      </c>
    </row>
    <row r="2883" spans="1:17" x14ac:dyDescent="0.25">
      <c r="A2883">
        <v>12</v>
      </c>
      <c r="Q2883">
        <v>8.25</v>
      </c>
    </row>
    <row r="2884" spans="1:17" x14ac:dyDescent="0.25">
      <c r="A2884">
        <v>7.5</v>
      </c>
      <c r="Q2884">
        <v>7.5</v>
      </c>
    </row>
    <row r="2885" spans="1:17" x14ac:dyDescent="0.25">
      <c r="A2885">
        <v>5</v>
      </c>
      <c r="Q2885">
        <v>8.625</v>
      </c>
    </row>
    <row r="2886" spans="1:17" x14ac:dyDescent="0.25">
      <c r="A2886">
        <v>5</v>
      </c>
      <c r="Q2886">
        <v>6</v>
      </c>
    </row>
    <row r="2887" spans="1:17" x14ac:dyDescent="0.25">
      <c r="A2887">
        <v>3</v>
      </c>
      <c r="Q2887">
        <v>5</v>
      </c>
    </row>
    <row r="2888" spans="1:17" x14ac:dyDescent="0.25">
      <c r="A2888">
        <v>7.5</v>
      </c>
      <c r="Q2888">
        <v>7.5</v>
      </c>
    </row>
    <row r="2889" spans="1:17" x14ac:dyDescent="0.25">
      <c r="A2889">
        <v>1.875</v>
      </c>
      <c r="Q2889">
        <v>5.625</v>
      </c>
    </row>
    <row r="2890" spans="1:17" x14ac:dyDescent="0.25">
      <c r="A2890">
        <v>7.5</v>
      </c>
      <c r="Q2890">
        <v>7.5</v>
      </c>
    </row>
    <row r="2891" spans="1:17" x14ac:dyDescent="0.25">
      <c r="A2891">
        <v>6</v>
      </c>
      <c r="Q2891">
        <v>0.75</v>
      </c>
    </row>
    <row r="2892" spans="1:17" x14ac:dyDescent="0.25">
      <c r="A2892">
        <v>7.5</v>
      </c>
      <c r="Q2892">
        <v>7.5</v>
      </c>
    </row>
    <row r="2893" spans="1:17" x14ac:dyDescent="0.25">
      <c r="A2893">
        <v>7.5</v>
      </c>
      <c r="Q2893">
        <v>7.5</v>
      </c>
    </row>
    <row r="2894" spans="1:17" x14ac:dyDescent="0.25">
      <c r="A2894">
        <v>10</v>
      </c>
      <c r="Q2894">
        <v>5</v>
      </c>
    </row>
    <row r="2895" spans="1:17" x14ac:dyDescent="0.25">
      <c r="A2895">
        <v>5</v>
      </c>
      <c r="Q2895">
        <v>6</v>
      </c>
    </row>
    <row r="2896" spans="1:17" x14ac:dyDescent="0.25">
      <c r="A2896">
        <v>2</v>
      </c>
      <c r="Q2896">
        <v>4</v>
      </c>
    </row>
    <row r="2897" spans="1:17" x14ac:dyDescent="0.25">
      <c r="A2897">
        <v>4.5</v>
      </c>
      <c r="Q2897">
        <v>5</v>
      </c>
    </row>
    <row r="2898" spans="1:17" x14ac:dyDescent="0.25">
      <c r="A2898">
        <v>3</v>
      </c>
      <c r="Q2898">
        <v>7.5</v>
      </c>
    </row>
    <row r="2899" spans="1:17" x14ac:dyDescent="0.25">
      <c r="A2899">
        <v>0.375</v>
      </c>
      <c r="Q2899">
        <v>14.25</v>
      </c>
    </row>
    <row r="2900" spans="1:17" x14ac:dyDescent="0.25">
      <c r="A2900">
        <v>0.375</v>
      </c>
      <c r="Q2900">
        <v>7.5</v>
      </c>
    </row>
    <row r="2901" spans="1:17" x14ac:dyDescent="0.25">
      <c r="A2901">
        <v>5</v>
      </c>
      <c r="Q2901">
        <v>2.25</v>
      </c>
    </row>
    <row r="2902" spans="1:17" x14ac:dyDescent="0.25">
      <c r="A2902">
        <v>5.625</v>
      </c>
      <c r="Q2902">
        <v>4.5</v>
      </c>
    </row>
    <row r="2903" spans="1:17" x14ac:dyDescent="0.25">
      <c r="A2903">
        <v>5</v>
      </c>
      <c r="Q2903">
        <v>7.5</v>
      </c>
    </row>
    <row r="2904" spans="1:17" x14ac:dyDescent="0.25">
      <c r="A2904">
        <v>0.375</v>
      </c>
      <c r="Q2904">
        <v>6.375</v>
      </c>
    </row>
    <row r="2905" spans="1:17" x14ac:dyDescent="0.25">
      <c r="A2905">
        <v>5</v>
      </c>
      <c r="Q2905">
        <v>3</v>
      </c>
    </row>
    <row r="2906" spans="1:17" x14ac:dyDescent="0.25">
      <c r="A2906">
        <v>5</v>
      </c>
      <c r="Q2906">
        <v>7.5</v>
      </c>
    </row>
    <row r="2907" spans="1:17" x14ac:dyDescent="0.25">
      <c r="A2907">
        <v>5</v>
      </c>
      <c r="Q2907">
        <v>1.5</v>
      </c>
    </row>
    <row r="2908" spans="1:17" x14ac:dyDescent="0.25">
      <c r="A2908">
        <v>10</v>
      </c>
      <c r="Q2908">
        <v>7.5</v>
      </c>
    </row>
    <row r="2909" spans="1:17" x14ac:dyDescent="0.25">
      <c r="A2909">
        <v>5</v>
      </c>
      <c r="Q2909">
        <v>7.5</v>
      </c>
    </row>
    <row r="2910" spans="1:17" x14ac:dyDescent="0.25">
      <c r="A2910">
        <v>0.75</v>
      </c>
      <c r="Q2910">
        <v>5.25</v>
      </c>
    </row>
    <row r="2911" spans="1:17" x14ac:dyDescent="0.25">
      <c r="A2911">
        <v>5</v>
      </c>
      <c r="Q2911">
        <v>5</v>
      </c>
    </row>
    <row r="2912" spans="1:17" x14ac:dyDescent="0.25">
      <c r="A2912">
        <v>3</v>
      </c>
      <c r="Q2912">
        <v>0.75</v>
      </c>
    </row>
    <row r="2913" spans="1:17" x14ac:dyDescent="0.25">
      <c r="A2913">
        <v>0.75</v>
      </c>
      <c r="Q2913">
        <v>7.5</v>
      </c>
    </row>
    <row r="2914" spans="1:17" x14ac:dyDescent="0.25">
      <c r="A2914">
        <v>5</v>
      </c>
      <c r="Q2914">
        <v>8.625</v>
      </c>
    </row>
    <row r="2915" spans="1:17" x14ac:dyDescent="0.25">
      <c r="A2915">
        <v>4.5</v>
      </c>
      <c r="Q2915">
        <v>1.5</v>
      </c>
    </row>
    <row r="2916" spans="1:17" x14ac:dyDescent="0.25">
      <c r="A2916">
        <v>5</v>
      </c>
      <c r="Q2916">
        <v>3.75</v>
      </c>
    </row>
    <row r="2917" spans="1:17" x14ac:dyDescent="0.25">
      <c r="A2917">
        <v>5</v>
      </c>
      <c r="Q2917">
        <v>12</v>
      </c>
    </row>
    <row r="2918" spans="1:17" x14ac:dyDescent="0.25">
      <c r="A2918">
        <v>5.25</v>
      </c>
      <c r="Q2918">
        <v>1.5</v>
      </c>
    </row>
    <row r="2919" spans="1:17" x14ac:dyDescent="0.25">
      <c r="A2919">
        <v>3</v>
      </c>
      <c r="Q2919">
        <v>8.625</v>
      </c>
    </row>
    <row r="2920" spans="1:17" x14ac:dyDescent="0.25">
      <c r="A2920">
        <v>3.5</v>
      </c>
      <c r="Q2920">
        <v>0.25</v>
      </c>
    </row>
    <row r="2921" spans="1:17" x14ac:dyDescent="0.25">
      <c r="A2921">
        <v>5</v>
      </c>
      <c r="Q2921">
        <v>7.5</v>
      </c>
    </row>
    <row r="2922" spans="1:17" x14ac:dyDescent="0.25">
      <c r="A2922">
        <v>5</v>
      </c>
      <c r="Q2922">
        <v>3.75</v>
      </c>
    </row>
    <row r="2923" spans="1:17" x14ac:dyDescent="0.25">
      <c r="A2923">
        <v>3.5</v>
      </c>
      <c r="Q2923">
        <v>5</v>
      </c>
    </row>
    <row r="2924" spans="1:17" x14ac:dyDescent="0.25">
      <c r="A2924">
        <v>0.75</v>
      </c>
      <c r="Q2924">
        <v>5</v>
      </c>
    </row>
    <row r="2925" spans="1:17" x14ac:dyDescent="0.25">
      <c r="A2925">
        <v>2.625</v>
      </c>
      <c r="Q2925">
        <v>5</v>
      </c>
    </row>
    <row r="2926" spans="1:17" x14ac:dyDescent="0.25">
      <c r="A2926">
        <v>5</v>
      </c>
      <c r="Q2926">
        <v>7</v>
      </c>
    </row>
    <row r="2927" spans="1:17" x14ac:dyDescent="0.25">
      <c r="A2927">
        <v>1.5</v>
      </c>
      <c r="Q2927">
        <v>5</v>
      </c>
    </row>
    <row r="2928" spans="1:17" x14ac:dyDescent="0.25">
      <c r="A2928">
        <v>3</v>
      </c>
      <c r="Q2928">
        <v>5</v>
      </c>
    </row>
    <row r="2929" spans="1:17" x14ac:dyDescent="0.25">
      <c r="A2929">
        <v>5</v>
      </c>
      <c r="Q2929">
        <v>5</v>
      </c>
    </row>
    <row r="2930" spans="1:17" x14ac:dyDescent="0.25">
      <c r="A2930">
        <v>2</v>
      </c>
      <c r="Q2930">
        <v>5</v>
      </c>
    </row>
    <row r="2931" spans="1:17" x14ac:dyDescent="0.25">
      <c r="A2931">
        <v>5</v>
      </c>
      <c r="Q2931">
        <v>3.5</v>
      </c>
    </row>
    <row r="2932" spans="1:17" x14ac:dyDescent="0.25">
      <c r="A2932">
        <v>3.75</v>
      </c>
      <c r="Q2932">
        <v>5</v>
      </c>
    </row>
    <row r="2933" spans="1:17" x14ac:dyDescent="0.25">
      <c r="A2933">
        <v>5</v>
      </c>
      <c r="Q2933">
        <v>5.25</v>
      </c>
    </row>
    <row r="2934" spans="1:17" x14ac:dyDescent="0.25">
      <c r="A2934">
        <v>0.375</v>
      </c>
      <c r="Q2934">
        <v>5</v>
      </c>
    </row>
    <row r="2935" spans="1:17" x14ac:dyDescent="0.25">
      <c r="A2935">
        <v>5</v>
      </c>
      <c r="Q2935">
        <v>5</v>
      </c>
    </row>
    <row r="2936" spans="1:17" x14ac:dyDescent="0.25">
      <c r="A2936">
        <v>8</v>
      </c>
      <c r="Q2936">
        <v>5</v>
      </c>
    </row>
    <row r="2937" spans="1:17" x14ac:dyDescent="0.25">
      <c r="A2937">
        <v>5</v>
      </c>
      <c r="Q2937">
        <v>3</v>
      </c>
    </row>
    <row r="2938" spans="1:17" x14ac:dyDescent="0.25">
      <c r="A2938">
        <v>3.75</v>
      </c>
      <c r="Q2938">
        <v>5.25</v>
      </c>
    </row>
    <row r="2939" spans="1:17" x14ac:dyDescent="0.25">
      <c r="A2939">
        <v>2.5</v>
      </c>
      <c r="Q2939">
        <v>4</v>
      </c>
    </row>
    <row r="2940" spans="1:17" x14ac:dyDescent="0.25">
      <c r="A2940">
        <v>1.75</v>
      </c>
      <c r="Q2940">
        <v>5.25</v>
      </c>
    </row>
    <row r="2941" spans="1:17" x14ac:dyDescent="0.25">
      <c r="A2941">
        <v>5.25</v>
      </c>
      <c r="Q2941">
        <v>5</v>
      </c>
    </row>
    <row r="2942" spans="1:17" x14ac:dyDescent="0.25">
      <c r="A2942">
        <v>5</v>
      </c>
      <c r="Q2942">
        <v>5</v>
      </c>
    </row>
    <row r="2943" spans="1:17" x14ac:dyDescent="0.25">
      <c r="A2943">
        <v>5</v>
      </c>
      <c r="Q2943">
        <v>5</v>
      </c>
    </row>
    <row r="2944" spans="1:17" x14ac:dyDescent="0.25">
      <c r="A2944">
        <v>5</v>
      </c>
      <c r="Q2944">
        <v>5</v>
      </c>
    </row>
    <row r="2945" spans="1:17" x14ac:dyDescent="0.25">
      <c r="A2945">
        <v>6.75</v>
      </c>
      <c r="Q2945">
        <v>2</v>
      </c>
    </row>
    <row r="2946" spans="1:17" x14ac:dyDescent="0.25">
      <c r="A2946">
        <v>4.5</v>
      </c>
      <c r="Q2946">
        <v>3</v>
      </c>
    </row>
    <row r="2947" spans="1:17" x14ac:dyDescent="0.25">
      <c r="A2947">
        <v>5</v>
      </c>
      <c r="Q2947">
        <v>4.75</v>
      </c>
    </row>
    <row r="2948" spans="1:17" x14ac:dyDescent="0.25">
      <c r="A2948">
        <v>3.5</v>
      </c>
      <c r="Q2948">
        <v>5</v>
      </c>
    </row>
    <row r="2949" spans="1:17" x14ac:dyDescent="0.25">
      <c r="A2949">
        <v>5</v>
      </c>
      <c r="Q2949">
        <v>4</v>
      </c>
    </row>
    <row r="2950" spans="1:17" x14ac:dyDescent="0.25">
      <c r="A2950">
        <v>4.5</v>
      </c>
      <c r="Q2950">
        <v>1</v>
      </c>
    </row>
    <row r="2951" spans="1:17" x14ac:dyDescent="0.25">
      <c r="A2951">
        <v>2.25</v>
      </c>
      <c r="Q2951">
        <v>1</v>
      </c>
    </row>
    <row r="2952" spans="1:17" x14ac:dyDescent="0.25">
      <c r="A2952">
        <v>9</v>
      </c>
      <c r="Q2952">
        <v>5</v>
      </c>
    </row>
    <row r="2953" spans="1:17" x14ac:dyDescent="0.25">
      <c r="A2953">
        <v>5</v>
      </c>
      <c r="Q2953">
        <v>5</v>
      </c>
    </row>
    <row r="2954" spans="1:17" x14ac:dyDescent="0.25">
      <c r="A2954">
        <v>0.375</v>
      </c>
      <c r="Q2954">
        <v>5</v>
      </c>
    </row>
    <row r="2955" spans="1:17" x14ac:dyDescent="0.25">
      <c r="A2955">
        <v>5</v>
      </c>
      <c r="Q2955">
        <v>5</v>
      </c>
    </row>
    <row r="2956" spans="1:17" x14ac:dyDescent="0.25">
      <c r="A2956">
        <v>4.5</v>
      </c>
      <c r="Q2956">
        <v>5</v>
      </c>
    </row>
    <row r="2957" spans="1:17" x14ac:dyDescent="0.25">
      <c r="A2957">
        <v>5</v>
      </c>
      <c r="Q2957">
        <v>5</v>
      </c>
    </row>
    <row r="2958" spans="1:17" x14ac:dyDescent="0.25">
      <c r="A2958">
        <v>8.625</v>
      </c>
      <c r="Q2958">
        <v>5.25</v>
      </c>
    </row>
    <row r="2959" spans="1:17" x14ac:dyDescent="0.25">
      <c r="A2959">
        <v>0.75</v>
      </c>
      <c r="Q2959">
        <v>3.5</v>
      </c>
    </row>
    <row r="2960" spans="1:17" x14ac:dyDescent="0.25">
      <c r="A2960">
        <v>5</v>
      </c>
      <c r="Q2960">
        <v>5</v>
      </c>
    </row>
    <row r="2961" spans="1:17" x14ac:dyDescent="0.25">
      <c r="A2961">
        <v>2.625</v>
      </c>
      <c r="Q2961">
        <v>3.25</v>
      </c>
    </row>
    <row r="2962" spans="1:17" x14ac:dyDescent="0.25">
      <c r="A2962">
        <v>1.5</v>
      </c>
      <c r="Q2962">
        <v>10.5</v>
      </c>
    </row>
    <row r="2963" spans="1:17" x14ac:dyDescent="0.25">
      <c r="A2963">
        <v>5</v>
      </c>
      <c r="Q2963">
        <v>7.5</v>
      </c>
    </row>
    <row r="2964" spans="1:17" x14ac:dyDescent="0.25">
      <c r="A2964">
        <v>5</v>
      </c>
      <c r="Q2964">
        <v>7.875</v>
      </c>
    </row>
    <row r="2965" spans="1:17" x14ac:dyDescent="0.25">
      <c r="A2965">
        <v>5</v>
      </c>
      <c r="Q2965">
        <v>8.625</v>
      </c>
    </row>
    <row r="2966" spans="1:17" x14ac:dyDescent="0.25">
      <c r="A2966">
        <v>1.5</v>
      </c>
      <c r="Q2966">
        <v>6</v>
      </c>
    </row>
    <row r="2967" spans="1:17" x14ac:dyDescent="0.25">
      <c r="A2967">
        <v>4</v>
      </c>
      <c r="Q2967">
        <v>7.5</v>
      </c>
    </row>
    <row r="2968" spans="1:17" x14ac:dyDescent="0.25">
      <c r="A2968">
        <v>0.75</v>
      </c>
      <c r="Q2968">
        <v>7.5</v>
      </c>
    </row>
    <row r="2969" spans="1:17" x14ac:dyDescent="0.25">
      <c r="A2969">
        <v>0.5</v>
      </c>
      <c r="Q2969">
        <v>7.5</v>
      </c>
    </row>
    <row r="2970" spans="1:17" x14ac:dyDescent="0.25">
      <c r="A2970">
        <v>8.75</v>
      </c>
      <c r="Q2970">
        <v>3</v>
      </c>
    </row>
    <row r="2971" spans="1:17" x14ac:dyDescent="0.25">
      <c r="A2971">
        <v>5</v>
      </c>
      <c r="Q2971">
        <v>10.875</v>
      </c>
    </row>
    <row r="2972" spans="1:17" x14ac:dyDescent="0.25">
      <c r="A2972">
        <v>0.375</v>
      </c>
      <c r="Q2972">
        <v>7.875</v>
      </c>
    </row>
    <row r="2973" spans="1:17" x14ac:dyDescent="0.25">
      <c r="A2973">
        <v>5</v>
      </c>
      <c r="Q2973">
        <v>10.125</v>
      </c>
    </row>
    <row r="2974" spans="1:17" x14ac:dyDescent="0.25">
      <c r="A2974">
        <v>2.25</v>
      </c>
      <c r="Q2974">
        <v>7.5</v>
      </c>
    </row>
    <row r="2975" spans="1:17" x14ac:dyDescent="0.25">
      <c r="A2975">
        <v>0.5</v>
      </c>
      <c r="Q2975">
        <v>6</v>
      </c>
    </row>
    <row r="2976" spans="1:17" x14ac:dyDescent="0.25">
      <c r="A2976">
        <v>1.25</v>
      </c>
      <c r="Q2976">
        <v>7.5</v>
      </c>
    </row>
    <row r="2977" spans="1:17" x14ac:dyDescent="0.25">
      <c r="A2977">
        <v>5</v>
      </c>
      <c r="Q2977">
        <v>9.75</v>
      </c>
    </row>
    <row r="2978" spans="1:17" x14ac:dyDescent="0.25">
      <c r="A2978">
        <v>4</v>
      </c>
      <c r="Q2978">
        <v>7.5</v>
      </c>
    </row>
    <row r="2979" spans="1:17" x14ac:dyDescent="0.25">
      <c r="A2979">
        <v>5</v>
      </c>
      <c r="Q2979">
        <v>7.5</v>
      </c>
    </row>
    <row r="2980" spans="1:17" x14ac:dyDescent="0.25">
      <c r="A2980">
        <v>5</v>
      </c>
      <c r="Q2980">
        <v>6</v>
      </c>
    </row>
    <row r="2981" spans="1:17" x14ac:dyDescent="0.25">
      <c r="A2981">
        <v>5</v>
      </c>
      <c r="Q2981">
        <v>1.125</v>
      </c>
    </row>
    <row r="2982" spans="1:17" x14ac:dyDescent="0.25">
      <c r="A2982">
        <v>1.5</v>
      </c>
      <c r="Q2982">
        <v>7.5</v>
      </c>
    </row>
    <row r="2983" spans="1:17" x14ac:dyDescent="0.25">
      <c r="A2983">
        <v>4.25</v>
      </c>
      <c r="Q2983">
        <v>12</v>
      </c>
    </row>
    <row r="2984" spans="1:17" x14ac:dyDescent="0.25">
      <c r="A2984">
        <v>5</v>
      </c>
      <c r="Q2984">
        <v>3</v>
      </c>
    </row>
    <row r="2985" spans="1:17" x14ac:dyDescent="0.25">
      <c r="A2985">
        <v>5</v>
      </c>
      <c r="Q2985">
        <v>7.5</v>
      </c>
    </row>
    <row r="2986" spans="1:17" x14ac:dyDescent="0.25">
      <c r="A2986">
        <v>4</v>
      </c>
      <c r="Q2986">
        <v>7.5</v>
      </c>
    </row>
    <row r="2987" spans="1:17" x14ac:dyDescent="0.25">
      <c r="A2987">
        <v>5</v>
      </c>
    </row>
    <row r="2988" spans="1:17" x14ac:dyDescent="0.25">
      <c r="A2988">
        <v>1</v>
      </c>
    </row>
    <row r="2989" spans="1:17" x14ac:dyDescent="0.25">
      <c r="A2989">
        <v>5</v>
      </c>
    </row>
    <row r="2990" spans="1:17" x14ac:dyDescent="0.25">
      <c r="A2990">
        <v>9</v>
      </c>
    </row>
    <row r="2991" spans="1:17" x14ac:dyDescent="0.25">
      <c r="A2991">
        <v>5.5</v>
      </c>
    </row>
    <row r="2992" spans="1:17" x14ac:dyDescent="0.25">
      <c r="A2992">
        <v>0.375</v>
      </c>
    </row>
    <row r="2993" spans="1:1" x14ac:dyDescent="0.25">
      <c r="A2993">
        <v>3</v>
      </c>
    </row>
    <row r="2994" spans="1:1" x14ac:dyDescent="0.25">
      <c r="A2994">
        <v>2.75</v>
      </c>
    </row>
    <row r="2995" spans="1:1" x14ac:dyDescent="0.25">
      <c r="A2995">
        <v>5</v>
      </c>
    </row>
    <row r="2996" spans="1:1" x14ac:dyDescent="0.25">
      <c r="A2996">
        <v>5</v>
      </c>
    </row>
    <row r="2997" spans="1:1" x14ac:dyDescent="0.25">
      <c r="A2997">
        <v>5.5</v>
      </c>
    </row>
    <row r="2998" spans="1:1" x14ac:dyDescent="0.25">
      <c r="A2998">
        <v>5</v>
      </c>
    </row>
    <row r="2999" spans="1:1" x14ac:dyDescent="0.25">
      <c r="A2999">
        <v>5.25</v>
      </c>
    </row>
    <row r="3000" spans="1:1" x14ac:dyDescent="0.25">
      <c r="A3000">
        <v>5</v>
      </c>
    </row>
    <row r="3001" spans="1:1" x14ac:dyDescent="0.25">
      <c r="A3001">
        <v>3.25</v>
      </c>
    </row>
    <row r="3002" spans="1:1" x14ac:dyDescent="0.25">
      <c r="A3002">
        <v>5.25</v>
      </c>
    </row>
    <row r="3003" spans="1:1" x14ac:dyDescent="0.25">
      <c r="A3003">
        <v>0.5</v>
      </c>
    </row>
    <row r="3004" spans="1:1" x14ac:dyDescent="0.25">
      <c r="A3004">
        <v>7.25</v>
      </c>
    </row>
    <row r="3005" spans="1:1" x14ac:dyDescent="0.25">
      <c r="A3005">
        <v>5</v>
      </c>
    </row>
    <row r="3006" spans="1:1" x14ac:dyDescent="0.25">
      <c r="A3006">
        <v>3.75</v>
      </c>
    </row>
    <row r="3007" spans="1:1" x14ac:dyDescent="0.25">
      <c r="A3007">
        <v>0.375</v>
      </c>
    </row>
    <row r="3008" spans="1:1" x14ac:dyDescent="0.25">
      <c r="A3008">
        <v>3.375</v>
      </c>
    </row>
    <row r="3009" spans="1:1" x14ac:dyDescent="0.25">
      <c r="A3009">
        <v>3.5</v>
      </c>
    </row>
    <row r="3010" spans="1:1" x14ac:dyDescent="0.25">
      <c r="A3010">
        <v>1</v>
      </c>
    </row>
    <row r="3011" spans="1:1" x14ac:dyDescent="0.25">
      <c r="A3011">
        <v>5</v>
      </c>
    </row>
    <row r="3012" spans="1:1" x14ac:dyDescent="0.25">
      <c r="A3012">
        <v>3</v>
      </c>
    </row>
    <row r="3013" spans="1:1" x14ac:dyDescent="0.25">
      <c r="A3013">
        <v>4.5</v>
      </c>
    </row>
    <row r="3014" spans="1:1" x14ac:dyDescent="0.25">
      <c r="A3014">
        <v>3.5</v>
      </c>
    </row>
    <row r="3015" spans="1:1" x14ac:dyDescent="0.25">
      <c r="A3015">
        <v>5.625</v>
      </c>
    </row>
    <row r="3016" spans="1:1" x14ac:dyDescent="0.25">
      <c r="A3016">
        <v>3.5</v>
      </c>
    </row>
    <row r="3017" spans="1:1" x14ac:dyDescent="0.25">
      <c r="A3017">
        <v>5</v>
      </c>
    </row>
    <row r="3018" spans="1:1" x14ac:dyDescent="0.25">
      <c r="A3018">
        <v>5</v>
      </c>
    </row>
    <row r="3019" spans="1:1" x14ac:dyDescent="0.25">
      <c r="A3019">
        <v>6.75</v>
      </c>
    </row>
    <row r="3020" spans="1:1" x14ac:dyDescent="0.25">
      <c r="A3020">
        <v>5</v>
      </c>
    </row>
    <row r="3021" spans="1:1" x14ac:dyDescent="0.25">
      <c r="A3021">
        <v>4.75</v>
      </c>
    </row>
    <row r="3022" spans="1:1" x14ac:dyDescent="0.25">
      <c r="A3022">
        <v>4.75</v>
      </c>
    </row>
    <row r="3023" spans="1:1" x14ac:dyDescent="0.25">
      <c r="A3023">
        <v>5</v>
      </c>
    </row>
    <row r="3024" spans="1:1" x14ac:dyDescent="0.25">
      <c r="A3024">
        <v>5</v>
      </c>
    </row>
    <row r="3025" spans="1:1" x14ac:dyDescent="0.25">
      <c r="A3025">
        <v>5</v>
      </c>
    </row>
    <row r="3026" spans="1:1" x14ac:dyDescent="0.25">
      <c r="A3026">
        <v>5</v>
      </c>
    </row>
    <row r="3027" spans="1:1" x14ac:dyDescent="0.25">
      <c r="A3027">
        <v>5</v>
      </c>
    </row>
    <row r="3028" spans="1:1" x14ac:dyDescent="0.25">
      <c r="A3028">
        <v>0.75</v>
      </c>
    </row>
    <row r="3029" spans="1:1" x14ac:dyDescent="0.25">
      <c r="A3029">
        <v>5</v>
      </c>
    </row>
    <row r="3030" spans="1:1" x14ac:dyDescent="0.25">
      <c r="A3030">
        <v>3.25</v>
      </c>
    </row>
    <row r="3031" spans="1:1" x14ac:dyDescent="0.25">
      <c r="A3031">
        <v>10</v>
      </c>
    </row>
    <row r="3032" spans="1:1" x14ac:dyDescent="0.25">
      <c r="A3032">
        <v>10</v>
      </c>
    </row>
    <row r="3033" spans="1:1" x14ac:dyDescent="0.25">
      <c r="A3033">
        <v>5</v>
      </c>
    </row>
    <row r="3034" spans="1:1" x14ac:dyDescent="0.25">
      <c r="A3034">
        <v>5</v>
      </c>
    </row>
    <row r="3035" spans="1:1" x14ac:dyDescent="0.25">
      <c r="A3035">
        <v>2.25</v>
      </c>
    </row>
    <row r="3036" spans="1:1" x14ac:dyDescent="0.25">
      <c r="A3036">
        <v>5</v>
      </c>
    </row>
    <row r="3037" spans="1:1" x14ac:dyDescent="0.25">
      <c r="A3037">
        <v>3.375</v>
      </c>
    </row>
    <row r="3038" spans="1:1" x14ac:dyDescent="0.25">
      <c r="A3038">
        <v>2.5</v>
      </c>
    </row>
    <row r="3039" spans="1:1" x14ac:dyDescent="0.25">
      <c r="A3039">
        <v>5</v>
      </c>
    </row>
    <row r="3040" spans="1:1" x14ac:dyDescent="0.25">
      <c r="A3040">
        <v>5</v>
      </c>
    </row>
    <row r="3041" spans="1:1" x14ac:dyDescent="0.25">
      <c r="A3041">
        <v>1.5</v>
      </c>
    </row>
    <row r="3042" spans="1:1" x14ac:dyDescent="0.25">
      <c r="A3042">
        <v>9</v>
      </c>
    </row>
    <row r="3043" spans="1:1" x14ac:dyDescent="0.25">
      <c r="A3043">
        <v>3</v>
      </c>
    </row>
    <row r="3044" spans="1:1" x14ac:dyDescent="0.25">
      <c r="A3044">
        <v>5</v>
      </c>
    </row>
    <row r="3045" spans="1:1" x14ac:dyDescent="0.25">
      <c r="A3045">
        <v>4.5</v>
      </c>
    </row>
    <row r="3046" spans="1:1" x14ac:dyDescent="0.25">
      <c r="A3046">
        <v>5</v>
      </c>
    </row>
    <row r="3047" spans="1:1" x14ac:dyDescent="0.25">
      <c r="A3047">
        <v>5</v>
      </c>
    </row>
    <row r="3048" spans="1:1" x14ac:dyDescent="0.25">
      <c r="A3048">
        <v>4</v>
      </c>
    </row>
    <row r="3049" spans="1:1" x14ac:dyDescent="0.25">
      <c r="A3049">
        <v>3.375</v>
      </c>
    </row>
    <row r="3050" spans="1:1" x14ac:dyDescent="0.25">
      <c r="A3050">
        <v>10.5</v>
      </c>
    </row>
    <row r="3051" spans="1:1" x14ac:dyDescent="0.25">
      <c r="A3051">
        <v>4.125</v>
      </c>
    </row>
    <row r="3052" spans="1:1" x14ac:dyDescent="0.25">
      <c r="A3052">
        <v>5</v>
      </c>
    </row>
    <row r="3053" spans="1:1" x14ac:dyDescent="0.25">
      <c r="A3053">
        <v>5</v>
      </c>
    </row>
    <row r="3054" spans="1:1" x14ac:dyDescent="0.25">
      <c r="A3054">
        <v>5</v>
      </c>
    </row>
    <row r="3055" spans="1:1" x14ac:dyDescent="0.25">
      <c r="A3055">
        <v>3.5</v>
      </c>
    </row>
    <row r="3056" spans="1:1" x14ac:dyDescent="0.25">
      <c r="A3056">
        <v>5</v>
      </c>
    </row>
    <row r="3057" spans="1:1" x14ac:dyDescent="0.25">
      <c r="A3057">
        <v>9.5</v>
      </c>
    </row>
    <row r="3058" spans="1:1" x14ac:dyDescent="0.25">
      <c r="A3058">
        <v>5</v>
      </c>
    </row>
    <row r="3059" spans="1:1" x14ac:dyDescent="0.25">
      <c r="A3059">
        <v>3.375</v>
      </c>
    </row>
    <row r="3060" spans="1:1" x14ac:dyDescent="0.25">
      <c r="A3060">
        <v>5</v>
      </c>
    </row>
    <row r="3061" spans="1:1" x14ac:dyDescent="0.25">
      <c r="A3061">
        <v>5.25</v>
      </c>
    </row>
    <row r="3062" spans="1:1" x14ac:dyDescent="0.25">
      <c r="A3062">
        <v>4.25</v>
      </c>
    </row>
    <row r="3063" spans="1:1" x14ac:dyDescent="0.25">
      <c r="A3063">
        <v>2.5</v>
      </c>
    </row>
    <row r="3064" spans="1:1" x14ac:dyDescent="0.25">
      <c r="A3064">
        <v>4.75</v>
      </c>
    </row>
    <row r="3065" spans="1:1" x14ac:dyDescent="0.25">
      <c r="A3065">
        <v>5</v>
      </c>
    </row>
    <row r="3066" spans="1:1" x14ac:dyDescent="0.25">
      <c r="A3066">
        <v>5</v>
      </c>
    </row>
    <row r="3067" spans="1:1" x14ac:dyDescent="0.25">
      <c r="A3067">
        <v>6.75</v>
      </c>
    </row>
    <row r="3068" spans="1:1" x14ac:dyDescent="0.25">
      <c r="A3068">
        <v>5</v>
      </c>
    </row>
    <row r="3069" spans="1:1" x14ac:dyDescent="0.25">
      <c r="A3069">
        <v>3</v>
      </c>
    </row>
    <row r="3070" spans="1:1" x14ac:dyDescent="0.25">
      <c r="A3070">
        <v>5.5</v>
      </c>
    </row>
    <row r="3071" spans="1:1" x14ac:dyDescent="0.25">
      <c r="A3071">
        <v>0.5</v>
      </c>
    </row>
    <row r="3072" spans="1:1" x14ac:dyDescent="0.25">
      <c r="A3072">
        <v>3.75</v>
      </c>
    </row>
    <row r="3073" spans="1:1" x14ac:dyDescent="0.25">
      <c r="A3073">
        <v>5</v>
      </c>
    </row>
    <row r="3074" spans="1:1" x14ac:dyDescent="0.25">
      <c r="A3074">
        <v>3</v>
      </c>
    </row>
    <row r="3075" spans="1:1" x14ac:dyDescent="0.25">
      <c r="A3075">
        <v>5</v>
      </c>
    </row>
    <row r="3076" spans="1:1" x14ac:dyDescent="0.25">
      <c r="A3076">
        <v>5</v>
      </c>
    </row>
    <row r="3077" spans="1:1" x14ac:dyDescent="0.25">
      <c r="A3077">
        <v>4.5</v>
      </c>
    </row>
    <row r="3078" spans="1:1" x14ac:dyDescent="0.25">
      <c r="A3078">
        <v>5</v>
      </c>
    </row>
    <row r="3079" spans="1:1" x14ac:dyDescent="0.25">
      <c r="A3079">
        <v>5</v>
      </c>
    </row>
    <row r="3080" spans="1:1" x14ac:dyDescent="0.25">
      <c r="A3080">
        <v>5</v>
      </c>
    </row>
    <row r="3081" spans="1:1" x14ac:dyDescent="0.25">
      <c r="A3081">
        <v>8.25</v>
      </c>
    </row>
    <row r="3082" spans="1:1" x14ac:dyDescent="0.25">
      <c r="A3082">
        <v>4.5</v>
      </c>
    </row>
    <row r="3083" spans="1:1" x14ac:dyDescent="0.25">
      <c r="A3083">
        <v>2.625</v>
      </c>
    </row>
    <row r="3084" spans="1:1" x14ac:dyDescent="0.25">
      <c r="A3084">
        <v>10</v>
      </c>
    </row>
    <row r="3085" spans="1:1" x14ac:dyDescent="0.25">
      <c r="A3085">
        <v>5</v>
      </c>
    </row>
    <row r="3086" spans="1:1" x14ac:dyDescent="0.25">
      <c r="A3086">
        <v>5</v>
      </c>
    </row>
    <row r="3087" spans="1:1" x14ac:dyDescent="0.25">
      <c r="A3087">
        <v>2</v>
      </c>
    </row>
    <row r="3088" spans="1:1" x14ac:dyDescent="0.25">
      <c r="A3088">
        <v>3</v>
      </c>
    </row>
    <row r="3089" spans="1:1" x14ac:dyDescent="0.25">
      <c r="A3089">
        <v>10</v>
      </c>
    </row>
    <row r="3090" spans="1:1" x14ac:dyDescent="0.25">
      <c r="A3090">
        <v>5</v>
      </c>
    </row>
    <row r="3091" spans="1:1" x14ac:dyDescent="0.25">
      <c r="A3091">
        <v>5</v>
      </c>
    </row>
    <row r="3092" spans="1:1" x14ac:dyDescent="0.25">
      <c r="A3092">
        <v>5</v>
      </c>
    </row>
    <row r="3093" spans="1:1" x14ac:dyDescent="0.25">
      <c r="A3093">
        <v>5.75</v>
      </c>
    </row>
    <row r="3094" spans="1:1" x14ac:dyDescent="0.25">
      <c r="A3094">
        <v>2.5</v>
      </c>
    </row>
    <row r="3095" spans="1:1" x14ac:dyDescent="0.25">
      <c r="A3095">
        <v>5</v>
      </c>
    </row>
    <row r="3096" spans="1:1" x14ac:dyDescent="0.25">
      <c r="A3096">
        <v>4</v>
      </c>
    </row>
    <row r="3097" spans="1:1" x14ac:dyDescent="0.25">
      <c r="A3097">
        <v>7.25</v>
      </c>
    </row>
    <row r="3098" spans="1:1" x14ac:dyDescent="0.25">
      <c r="A3098">
        <v>5</v>
      </c>
    </row>
    <row r="3099" spans="1:1" x14ac:dyDescent="0.25">
      <c r="A3099">
        <v>5</v>
      </c>
    </row>
    <row r="3100" spans="1:1" x14ac:dyDescent="0.25">
      <c r="A3100">
        <v>5</v>
      </c>
    </row>
    <row r="3101" spans="1:1" x14ac:dyDescent="0.25">
      <c r="A3101">
        <v>4</v>
      </c>
    </row>
    <row r="3102" spans="1:1" x14ac:dyDescent="0.25">
      <c r="A3102">
        <v>5</v>
      </c>
    </row>
    <row r="3103" spans="1:1" x14ac:dyDescent="0.25">
      <c r="A3103">
        <v>4.25</v>
      </c>
    </row>
    <row r="3104" spans="1:1" x14ac:dyDescent="0.25">
      <c r="A3104">
        <v>5</v>
      </c>
    </row>
    <row r="3105" spans="1:1" x14ac:dyDescent="0.25">
      <c r="A3105">
        <v>5.5</v>
      </c>
    </row>
    <row r="3106" spans="1:1" x14ac:dyDescent="0.25">
      <c r="A3106">
        <v>5</v>
      </c>
    </row>
    <row r="3107" spans="1:1" x14ac:dyDescent="0.25">
      <c r="A3107">
        <v>5</v>
      </c>
    </row>
    <row r="3108" spans="1:1" x14ac:dyDescent="0.25">
      <c r="A3108">
        <v>5</v>
      </c>
    </row>
    <row r="3109" spans="1:1" x14ac:dyDescent="0.25">
      <c r="A3109">
        <v>5</v>
      </c>
    </row>
    <row r="3110" spans="1:1" x14ac:dyDescent="0.25">
      <c r="A3110">
        <v>5.5</v>
      </c>
    </row>
    <row r="3111" spans="1:1" x14ac:dyDescent="0.25">
      <c r="A3111">
        <v>5</v>
      </c>
    </row>
    <row r="3112" spans="1:1" x14ac:dyDescent="0.25">
      <c r="A3112">
        <v>5</v>
      </c>
    </row>
    <row r="3113" spans="1:1" x14ac:dyDescent="0.25">
      <c r="A3113">
        <v>5</v>
      </c>
    </row>
    <row r="3114" spans="1:1" x14ac:dyDescent="0.25">
      <c r="A3114">
        <v>5</v>
      </c>
    </row>
    <row r="3115" spans="1:1" x14ac:dyDescent="0.25">
      <c r="A3115">
        <v>5</v>
      </c>
    </row>
    <row r="3116" spans="1:1" x14ac:dyDescent="0.25">
      <c r="A3116">
        <v>6.5</v>
      </c>
    </row>
    <row r="3117" spans="1:1" x14ac:dyDescent="0.25">
      <c r="A3117">
        <v>2.5</v>
      </c>
    </row>
    <row r="3118" spans="1:1" x14ac:dyDescent="0.25">
      <c r="A3118">
        <v>5</v>
      </c>
    </row>
    <row r="3119" spans="1:1" x14ac:dyDescent="0.25">
      <c r="A3119">
        <v>3</v>
      </c>
    </row>
    <row r="3120" spans="1:1" x14ac:dyDescent="0.25">
      <c r="A3120">
        <v>5</v>
      </c>
    </row>
    <row r="3121" spans="1:1" x14ac:dyDescent="0.25">
      <c r="A3121">
        <v>5</v>
      </c>
    </row>
    <row r="3122" spans="1:1" x14ac:dyDescent="0.25">
      <c r="A3122">
        <v>5</v>
      </c>
    </row>
    <row r="3123" spans="1:1" x14ac:dyDescent="0.25">
      <c r="A3123">
        <v>10</v>
      </c>
    </row>
    <row r="3124" spans="1:1" x14ac:dyDescent="0.25">
      <c r="A3124">
        <v>3.75</v>
      </c>
    </row>
    <row r="3125" spans="1:1" x14ac:dyDescent="0.25">
      <c r="A3125">
        <v>10</v>
      </c>
    </row>
    <row r="3126" spans="1:1" x14ac:dyDescent="0.25">
      <c r="A3126">
        <v>5</v>
      </c>
    </row>
    <row r="3127" spans="1:1" x14ac:dyDescent="0.25">
      <c r="A3127">
        <v>3</v>
      </c>
    </row>
    <row r="3128" spans="1:1" x14ac:dyDescent="0.25">
      <c r="A3128">
        <v>5</v>
      </c>
    </row>
    <row r="3129" spans="1:1" x14ac:dyDescent="0.25">
      <c r="A3129">
        <v>5</v>
      </c>
    </row>
    <row r="3130" spans="1:1" x14ac:dyDescent="0.25">
      <c r="A3130">
        <v>5</v>
      </c>
    </row>
    <row r="3131" spans="1:1" x14ac:dyDescent="0.25">
      <c r="A3131">
        <v>5</v>
      </c>
    </row>
    <row r="3132" spans="1:1" x14ac:dyDescent="0.25">
      <c r="A3132">
        <v>5</v>
      </c>
    </row>
    <row r="3133" spans="1:1" x14ac:dyDescent="0.25">
      <c r="A3133">
        <v>5.25</v>
      </c>
    </row>
    <row r="3134" spans="1:1" x14ac:dyDescent="0.25">
      <c r="A3134">
        <v>5</v>
      </c>
    </row>
    <row r="3135" spans="1:1" x14ac:dyDescent="0.25">
      <c r="A3135">
        <v>5.75</v>
      </c>
    </row>
    <row r="3136" spans="1:1" x14ac:dyDescent="0.25">
      <c r="A3136">
        <v>5</v>
      </c>
    </row>
    <row r="3137" spans="1:1" x14ac:dyDescent="0.25">
      <c r="A3137">
        <v>7.25</v>
      </c>
    </row>
    <row r="3138" spans="1:1" x14ac:dyDescent="0.25">
      <c r="A3138">
        <v>5</v>
      </c>
    </row>
    <row r="3139" spans="1:1" x14ac:dyDescent="0.25">
      <c r="A3139">
        <v>3</v>
      </c>
    </row>
    <row r="3140" spans="1:1" x14ac:dyDescent="0.25">
      <c r="A3140">
        <v>5</v>
      </c>
    </row>
    <row r="3141" spans="1:1" x14ac:dyDescent="0.25">
      <c r="A3141">
        <v>5</v>
      </c>
    </row>
    <row r="3142" spans="1:1" x14ac:dyDescent="0.25">
      <c r="A3142">
        <v>5</v>
      </c>
    </row>
    <row r="3143" spans="1:1" x14ac:dyDescent="0.25">
      <c r="A3143">
        <v>5</v>
      </c>
    </row>
    <row r="3144" spans="1:1" x14ac:dyDescent="0.25">
      <c r="A3144">
        <v>5</v>
      </c>
    </row>
    <row r="3145" spans="1:1" x14ac:dyDescent="0.25">
      <c r="A3145">
        <v>6</v>
      </c>
    </row>
    <row r="3146" spans="1:1" x14ac:dyDescent="0.25">
      <c r="A3146">
        <v>5</v>
      </c>
    </row>
    <row r="3147" spans="1:1" x14ac:dyDescent="0.25">
      <c r="A3147">
        <v>5</v>
      </c>
    </row>
    <row r="3148" spans="1:1" x14ac:dyDescent="0.25">
      <c r="A3148">
        <v>5</v>
      </c>
    </row>
    <row r="3149" spans="1:1" x14ac:dyDescent="0.25">
      <c r="A3149">
        <v>10</v>
      </c>
    </row>
    <row r="3150" spans="1:1" x14ac:dyDescent="0.25">
      <c r="A3150">
        <v>5</v>
      </c>
    </row>
    <row r="3151" spans="1:1" x14ac:dyDescent="0.25">
      <c r="A3151">
        <v>5.25</v>
      </c>
    </row>
    <row r="3152" spans="1:1" x14ac:dyDescent="0.25">
      <c r="A3152">
        <v>5</v>
      </c>
    </row>
    <row r="3153" spans="1:1" x14ac:dyDescent="0.25">
      <c r="A3153">
        <v>3</v>
      </c>
    </row>
    <row r="3154" spans="1:1" x14ac:dyDescent="0.25">
      <c r="A3154">
        <v>5</v>
      </c>
    </row>
    <row r="3155" spans="1:1" x14ac:dyDescent="0.25">
      <c r="A3155">
        <v>4</v>
      </c>
    </row>
    <row r="3156" spans="1:1" x14ac:dyDescent="0.25">
      <c r="A3156">
        <v>3.25</v>
      </c>
    </row>
    <row r="3157" spans="1:1" x14ac:dyDescent="0.25">
      <c r="A3157">
        <v>6.75</v>
      </c>
    </row>
    <row r="3158" spans="1:1" x14ac:dyDescent="0.25">
      <c r="A3158">
        <v>1</v>
      </c>
    </row>
    <row r="3159" spans="1:1" x14ac:dyDescent="0.25">
      <c r="A3159">
        <v>3.75</v>
      </c>
    </row>
    <row r="3160" spans="1:1" x14ac:dyDescent="0.25">
      <c r="A3160">
        <v>2.25</v>
      </c>
    </row>
    <row r="3161" spans="1:1" x14ac:dyDescent="0.25">
      <c r="A3161">
        <v>5</v>
      </c>
    </row>
    <row r="3162" spans="1:1" x14ac:dyDescent="0.25">
      <c r="A3162">
        <v>4.5</v>
      </c>
    </row>
    <row r="3163" spans="1:1" x14ac:dyDescent="0.25">
      <c r="A3163">
        <v>5</v>
      </c>
    </row>
    <row r="3164" spans="1:1" x14ac:dyDescent="0.25">
      <c r="A3164">
        <v>3.75</v>
      </c>
    </row>
    <row r="3165" spans="1:1" x14ac:dyDescent="0.25">
      <c r="A3165">
        <v>7.25</v>
      </c>
    </row>
    <row r="3166" spans="1:1" x14ac:dyDescent="0.25">
      <c r="A3166">
        <v>3.5</v>
      </c>
    </row>
    <row r="3167" spans="1:1" x14ac:dyDescent="0.25">
      <c r="A3167">
        <v>4</v>
      </c>
    </row>
    <row r="3168" spans="1:1" x14ac:dyDescent="0.25">
      <c r="A3168">
        <v>6.5</v>
      </c>
    </row>
    <row r="3169" spans="1:1" x14ac:dyDescent="0.25">
      <c r="A3169">
        <v>5</v>
      </c>
    </row>
    <row r="3170" spans="1:1" x14ac:dyDescent="0.25">
      <c r="A3170">
        <v>2.25</v>
      </c>
    </row>
    <row r="3171" spans="1:1" x14ac:dyDescent="0.25">
      <c r="A3171">
        <v>5</v>
      </c>
    </row>
    <row r="3172" spans="1:1" x14ac:dyDescent="0.25">
      <c r="A3172">
        <v>5</v>
      </c>
    </row>
    <row r="3173" spans="1:1" x14ac:dyDescent="0.25">
      <c r="A3173">
        <v>5</v>
      </c>
    </row>
    <row r="3174" spans="1:1" x14ac:dyDescent="0.25">
      <c r="A3174">
        <v>7.25</v>
      </c>
    </row>
    <row r="3175" spans="1:1" x14ac:dyDescent="0.25">
      <c r="A3175">
        <v>3</v>
      </c>
    </row>
    <row r="3176" spans="1:1" x14ac:dyDescent="0.25">
      <c r="A3176">
        <v>5.5</v>
      </c>
    </row>
    <row r="3177" spans="1:1" x14ac:dyDescent="0.25">
      <c r="A3177">
        <v>5</v>
      </c>
    </row>
    <row r="3178" spans="1:1" x14ac:dyDescent="0.25">
      <c r="A3178">
        <v>4</v>
      </c>
    </row>
    <row r="3179" spans="1:1" x14ac:dyDescent="0.25">
      <c r="A3179">
        <v>5</v>
      </c>
    </row>
    <row r="3180" spans="1:1" x14ac:dyDescent="0.25">
      <c r="A3180">
        <v>4.25</v>
      </c>
    </row>
    <row r="3181" spans="1:1" x14ac:dyDescent="0.25">
      <c r="A3181">
        <v>7.25</v>
      </c>
    </row>
    <row r="3182" spans="1:1" x14ac:dyDescent="0.25">
      <c r="A3182">
        <v>5</v>
      </c>
    </row>
    <row r="3183" spans="1:1" x14ac:dyDescent="0.25">
      <c r="A3183">
        <v>2</v>
      </c>
    </row>
    <row r="3184" spans="1:1" x14ac:dyDescent="0.25">
      <c r="A3184">
        <v>1.5</v>
      </c>
    </row>
    <row r="3185" spans="1:1" x14ac:dyDescent="0.25">
      <c r="A3185">
        <v>5</v>
      </c>
    </row>
    <row r="3186" spans="1:1" x14ac:dyDescent="0.25">
      <c r="A3186">
        <v>4.5</v>
      </c>
    </row>
    <row r="3187" spans="1:1" x14ac:dyDescent="0.25">
      <c r="A3187">
        <v>5</v>
      </c>
    </row>
    <row r="3188" spans="1:1" x14ac:dyDescent="0.25">
      <c r="A3188">
        <v>4.5</v>
      </c>
    </row>
    <row r="3189" spans="1:1" x14ac:dyDescent="0.25">
      <c r="A3189">
        <v>5</v>
      </c>
    </row>
    <row r="3190" spans="1:1" x14ac:dyDescent="0.25">
      <c r="A3190">
        <v>5</v>
      </c>
    </row>
    <row r="3191" spans="1:1" x14ac:dyDescent="0.25">
      <c r="A3191">
        <v>5.5</v>
      </c>
    </row>
    <row r="3192" spans="1:1" x14ac:dyDescent="0.25">
      <c r="A3192">
        <v>5</v>
      </c>
    </row>
    <row r="3193" spans="1:1" x14ac:dyDescent="0.25">
      <c r="A3193">
        <v>2</v>
      </c>
    </row>
    <row r="3194" spans="1:1" x14ac:dyDescent="0.25">
      <c r="A3194">
        <v>6.75</v>
      </c>
    </row>
    <row r="3195" spans="1:1" x14ac:dyDescent="0.25">
      <c r="A3195">
        <v>5</v>
      </c>
    </row>
    <row r="3196" spans="1:1" x14ac:dyDescent="0.25">
      <c r="A3196">
        <v>5.5</v>
      </c>
    </row>
    <row r="3197" spans="1:1" x14ac:dyDescent="0.25">
      <c r="A3197">
        <v>13</v>
      </c>
    </row>
    <row r="3198" spans="1:1" x14ac:dyDescent="0.25">
      <c r="A3198">
        <v>5</v>
      </c>
    </row>
    <row r="3199" spans="1:1" x14ac:dyDescent="0.25">
      <c r="A3199">
        <v>5</v>
      </c>
    </row>
    <row r="3200" spans="1:1" x14ac:dyDescent="0.25">
      <c r="A3200">
        <v>5</v>
      </c>
    </row>
    <row r="3201" spans="1:1" x14ac:dyDescent="0.25">
      <c r="A3201">
        <v>7.25</v>
      </c>
    </row>
    <row r="3202" spans="1:1" x14ac:dyDescent="0.25">
      <c r="A3202">
        <v>5</v>
      </c>
    </row>
    <row r="3203" spans="1:1" x14ac:dyDescent="0.25">
      <c r="A3203">
        <v>7</v>
      </c>
    </row>
    <row r="3204" spans="1:1" x14ac:dyDescent="0.25">
      <c r="A3204">
        <v>5.5</v>
      </c>
    </row>
    <row r="3205" spans="1:1" x14ac:dyDescent="0.25">
      <c r="A3205">
        <v>9.5</v>
      </c>
    </row>
    <row r="3206" spans="1:1" x14ac:dyDescent="0.25">
      <c r="A3206">
        <v>6.5</v>
      </c>
    </row>
    <row r="3207" spans="1:1" x14ac:dyDescent="0.25">
      <c r="A3207">
        <v>1.25</v>
      </c>
    </row>
    <row r="3208" spans="1:1" x14ac:dyDescent="0.25">
      <c r="A3208">
        <v>5</v>
      </c>
    </row>
    <row r="3209" spans="1:1" x14ac:dyDescent="0.25">
      <c r="A3209">
        <v>5</v>
      </c>
    </row>
    <row r="3210" spans="1:1" x14ac:dyDescent="0.25">
      <c r="A3210">
        <v>5</v>
      </c>
    </row>
    <row r="3211" spans="1:1" x14ac:dyDescent="0.25">
      <c r="A3211">
        <v>5</v>
      </c>
    </row>
    <row r="3212" spans="1:1" x14ac:dyDescent="0.25">
      <c r="A3212">
        <v>5</v>
      </c>
    </row>
    <row r="3213" spans="1:1" x14ac:dyDescent="0.25">
      <c r="A3213">
        <v>5</v>
      </c>
    </row>
    <row r="3214" spans="1:1" x14ac:dyDescent="0.25">
      <c r="A3214">
        <v>7</v>
      </c>
    </row>
    <row r="3215" spans="1:1" x14ac:dyDescent="0.25">
      <c r="A3215">
        <v>5</v>
      </c>
    </row>
    <row r="3216" spans="1:1" x14ac:dyDescent="0.25">
      <c r="A3216">
        <v>5</v>
      </c>
    </row>
    <row r="3217" spans="1:1" x14ac:dyDescent="0.25">
      <c r="A3217">
        <v>2.5</v>
      </c>
    </row>
    <row r="3218" spans="1:1" x14ac:dyDescent="0.25">
      <c r="A3218">
        <v>5</v>
      </c>
    </row>
    <row r="3219" spans="1:1" x14ac:dyDescent="0.25">
      <c r="A3219">
        <v>5</v>
      </c>
    </row>
    <row r="3220" spans="1:1" x14ac:dyDescent="0.25">
      <c r="A3220">
        <v>5</v>
      </c>
    </row>
    <row r="3221" spans="1:1" x14ac:dyDescent="0.25">
      <c r="A3221">
        <v>1.25</v>
      </c>
    </row>
    <row r="3222" spans="1:1" x14ac:dyDescent="0.25">
      <c r="A3222">
        <v>5</v>
      </c>
    </row>
    <row r="3223" spans="1:1" x14ac:dyDescent="0.25">
      <c r="A3223">
        <v>5</v>
      </c>
    </row>
    <row r="3224" spans="1:1" x14ac:dyDescent="0.25">
      <c r="A3224">
        <v>6.25</v>
      </c>
    </row>
    <row r="3225" spans="1:1" x14ac:dyDescent="0.25">
      <c r="A3225">
        <v>2.25</v>
      </c>
    </row>
    <row r="3226" spans="1:1" x14ac:dyDescent="0.25">
      <c r="A3226">
        <v>5</v>
      </c>
    </row>
    <row r="3227" spans="1:1" x14ac:dyDescent="0.25">
      <c r="A3227">
        <v>6</v>
      </c>
    </row>
    <row r="3228" spans="1:1" x14ac:dyDescent="0.25">
      <c r="A3228">
        <v>5</v>
      </c>
    </row>
    <row r="3229" spans="1:1" x14ac:dyDescent="0.25">
      <c r="A3229">
        <v>5.25</v>
      </c>
    </row>
    <row r="3230" spans="1:1" x14ac:dyDescent="0.25">
      <c r="A3230">
        <v>5</v>
      </c>
    </row>
    <row r="3231" spans="1:1" x14ac:dyDescent="0.25">
      <c r="A3231">
        <v>1</v>
      </c>
    </row>
    <row r="3232" spans="1:1" x14ac:dyDescent="0.25">
      <c r="A3232">
        <v>2.5</v>
      </c>
    </row>
    <row r="3233" spans="1:1" x14ac:dyDescent="0.25">
      <c r="A3233">
        <v>4.75</v>
      </c>
    </row>
    <row r="3234" spans="1:1" x14ac:dyDescent="0.25">
      <c r="A3234">
        <v>7</v>
      </c>
    </row>
    <row r="3235" spans="1:1" x14ac:dyDescent="0.25">
      <c r="A3235">
        <v>2.25</v>
      </c>
    </row>
    <row r="3236" spans="1:1" x14ac:dyDescent="0.25">
      <c r="A3236">
        <v>4.5</v>
      </c>
    </row>
    <row r="3237" spans="1:1" x14ac:dyDescent="0.25">
      <c r="A3237">
        <v>5</v>
      </c>
    </row>
    <row r="3238" spans="1:1" x14ac:dyDescent="0.25">
      <c r="A3238">
        <v>5</v>
      </c>
    </row>
    <row r="3239" spans="1:1" x14ac:dyDescent="0.25">
      <c r="A3239">
        <v>5</v>
      </c>
    </row>
    <row r="3240" spans="1:1" x14ac:dyDescent="0.25">
      <c r="A3240">
        <v>4.75</v>
      </c>
    </row>
    <row r="3241" spans="1:1" x14ac:dyDescent="0.25">
      <c r="A3241">
        <v>3.25</v>
      </c>
    </row>
    <row r="3242" spans="1:1" x14ac:dyDescent="0.25">
      <c r="A3242">
        <v>5</v>
      </c>
    </row>
    <row r="3243" spans="1:1" x14ac:dyDescent="0.25">
      <c r="A3243">
        <v>5</v>
      </c>
    </row>
    <row r="3244" spans="1:1" x14ac:dyDescent="0.25">
      <c r="A3244">
        <v>5</v>
      </c>
    </row>
    <row r="3245" spans="1:1" x14ac:dyDescent="0.25">
      <c r="A3245">
        <v>4.75</v>
      </c>
    </row>
    <row r="3246" spans="1:1" x14ac:dyDescent="0.25">
      <c r="A3246">
        <v>5</v>
      </c>
    </row>
    <row r="3247" spans="1:1" x14ac:dyDescent="0.25">
      <c r="A3247">
        <v>5.75</v>
      </c>
    </row>
    <row r="3248" spans="1:1" x14ac:dyDescent="0.25">
      <c r="A3248">
        <v>3</v>
      </c>
    </row>
    <row r="3249" spans="1:1" x14ac:dyDescent="0.25">
      <c r="A3249">
        <v>5</v>
      </c>
    </row>
    <row r="3250" spans="1:1" x14ac:dyDescent="0.25">
      <c r="A3250">
        <v>4</v>
      </c>
    </row>
    <row r="3251" spans="1:1" x14ac:dyDescent="0.25">
      <c r="A3251">
        <v>5</v>
      </c>
    </row>
    <row r="3252" spans="1:1" x14ac:dyDescent="0.25">
      <c r="A3252">
        <v>5.25</v>
      </c>
    </row>
    <row r="3253" spans="1:1" x14ac:dyDescent="0.25">
      <c r="A3253">
        <v>7.25</v>
      </c>
    </row>
    <row r="3254" spans="1:1" x14ac:dyDescent="0.25">
      <c r="A3254">
        <v>5</v>
      </c>
    </row>
    <row r="3255" spans="1:1" x14ac:dyDescent="0.25">
      <c r="A3255">
        <v>5</v>
      </c>
    </row>
    <row r="3256" spans="1:1" x14ac:dyDescent="0.25">
      <c r="A3256">
        <v>7.25</v>
      </c>
    </row>
    <row r="3257" spans="1:1" x14ac:dyDescent="0.25">
      <c r="A3257">
        <v>5</v>
      </c>
    </row>
    <row r="3258" spans="1:1" x14ac:dyDescent="0.25">
      <c r="A3258">
        <v>9</v>
      </c>
    </row>
    <row r="3259" spans="1:1" x14ac:dyDescent="0.25">
      <c r="A3259">
        <v>5</v>
      </c>
    </row>
    <row r="3260" spans="1:1" x14ac:dyDescent="0.25">
      <c r="A3260">
        <v>5</v>
      </c>
    </row>
    <row r="3261" spans="1:1" x14ac:dyDescent="0.25">
      <c r="A3261">
        <v>5</v>
      </c>
    </row>
    <row r="3262" spans="1:1" x14ac:dyDescent="0.25">
      <c r="A3262">
        <v>7</v>
      </c>
    </row>
    <row r="3263" spans="1:1" x14ac:dyDescent="0.25">
      <c r="A3263">
        <v>6</v>
      </c>
    </row>
    <row r="3264" spans="1:1" x14ac:dyDescent="0.25">
      <c r="A3264">
        <v>5</v>
      </c>
    </row>
    <row r="3265" spans="1:1" x14ac:dyDescent="0.25">
      <c r="A3265">
        <v>5</v>
      </c>
    </row>
    <row r="3266" spans="1:1" x14ac:dyDescent="0.25">
      <c r="A3266">
        <v>5.25</v>
      </c>
    </row>
    <row r="3267" spans="1:1" x14ac:dyDescent="0.25">
      <c r="A3267">
        <v>2.25</v>
      </c>
    </row>
    <row r="3268" spans="1:1" x14ac:dyDescent="0.25">
      <c r="A3268">
        <v>2.25</v>
      </c>
    </row>
    <row r="3269" spans="1:1" x14ac:dyDescent="0.25">
      <c r="A3269">
        <v>3.25</v>
      </c>
    </row>
    <row r="3270" spans="1:1" x14ac:dyDescent="0.25">
      <c r="A3270">
        <v>1</v>
      </c>
    </row>
    <row r="3271" spans="1:1" x14ac:dyDescent="0.25">
      <c r="A3271">
        <v>4</v>
      </c>
    </row>
    <row r="3272" spans="1:1" x14ac:dyDescent="0.25">
      <c r="A3272">
        <v>5</v>
      </c>
    </row>
    <row r="3273" spans="1:1" x14ac:dyDescent="0.25">
      <c r="A3273">
        <v>2.25</v>
      </c>
    </row>
    <row r="3274" spans="1:1" x14ac:dyDescent="0.25">
      <c r="A3274">
        <v>2.25</v>
      </c>
    </row>
    <row r="3275" spans="1:1" x14ac:dyDescent="0.25">
      <c r="A3275">
        <v>5</v>
      </c>
    </row>
    <row r="3276" spans="1:1" x14ac:dyDescent="0.25">
      <c r="A3276">
        <v>4.5</v>
      </c>
    </row>
    <row r="3277" spans="1:1" x14ac:dyDescent="0.25">
      <c r="A3277">
        <v>5</v>
      </c>
    </row>
    <row r="3278" spans="1:1" x14ac:dyDescent="0.25">
      <c r="A3278">
        <v>5</v>
      </c>
    </row>
    <row r="3279" spans="1:1" x14ac:dyDescent="0.25">
      <c r="A3279">
        <v>5</v>
      </c>
    </row>
    <row r="3280" spans="1:1" x14ac:dyDescent="0.25">
      <c r="A3280">
        <v>5</v>
      </c>
    </row>
    <row r="3281" spans="1:1" x14ac:dyDescent="0.25">
      <c r="A3281">
        <v>5</v>
      </c>
    </row>
    <row r="3282" spans="1:1" x14ac:dyDescent="0.25">
      <c r="A3282">
        <v>9</v>
      </c>
    </row>
    <row r="3283" spans="1:1" x14ac:dyDescent="0.25">
      <c r="A3283">
        <v>5</v>
      </c>
    </row>
    <row r="3284" spans="1:1" x14ac:dyDescent="0.25">
      <c r="A3284">
        <v>5</v>
      </c>
    </row>
    <row r="3285" spans="1:1" x14ac:dyDescent="0.25">
      <c r="A3285">
        <v>5</v>
      </c>
    </row>
    <row r="3286" spans="1:1" x14ac:dyDescent="0.25">
      <c r="A3286">
        <v>4</v>
      </c>
    </row>
    <row r="3287" spans="1:1" x14ac:dyDescent="0.25">
      <c r="A3287">
        <v>1.75</v>
      </c>
    </row>
    <row r="3288" spans="1:1" x14ac:dyDescent="0.25">
      <c r="A3288">
        <v>3.5</v>
      </c>
    </row>
    <row r="3289" spans="1:1" x14ac:dyDescent="0.25">
      <c r="A3289">
        <v>5</v>
      </c>
    </row>
    <row r="3290" spans="1:1" x14ac:dyDescent="0.25">
      <c r="A3290">
        <v>6.5</v>
      </c>
    </row>
    <row r="3291" spans="1:1" x14ac:dyDescent="0.25">
      <c r="A3291">
        <v>5.25</v>
      </c>
    </row>
    <row r="3292" spans="1:1" x14ac:dyDescent="0.25">
      <c r="A3292">
        <v>5</v>
      </c>
    </row>
    <row r="3293" spans="1:1" x14ac:dyDescent="0.25">
      <c r="A3293">
        <v>5</v>
      </c>
    </row>
    <row r="3294" spans="1:1" x14ac:dyDescent="0.25">
      <c r="A3294">
        <v>5</v>
      </c>
    </row>
    <row r="3295" spans="1:1" x14ac:dyDescent="0.25">
      <c r="A3295">
        <v>5</v>
      </c>
    </row>
    <row r="3296" spans="1:1" x14ac:dyDescent="0.25">
      <c r="A3296">
        <v>5</v>
      </c>
    </row>
    <row r="3297" spans="1:1" x14ac:dyDescent="0.25">
      <c r="A3297">
        <v>3</v>
      </c>
    </row>
    <row r="3298" spans="1:1" x14ac:dyDescent="0.25">
      <c r="A3298">
        <v>5.25</v>
      </c>
    </row>
    <row r="3299" spans="1:1" x14ac:dyDescent="0.25">
      <c r="A3299">
        <v>4</v>
      </c>
    </row>
    <row r="3300" spans="1:1" x14ac:dyDescent="0.25">
      <c r="A3300">
        <v>5.25</v>
      </c>
    </row>
    <row r="3301" spans="1:1" x14ac:dyDescent="0.25">
      <c r="A3301">
        <v>5</v>
      </c>
    </row>
    <row r="3302" spans="1:1" x14ac:dyDescent="0.25">
      <c r="A3302">
        <v>5</v>
      </c>
    </row>
    <row r="3303" spans="1:1" x14ac:dyDescent="0.25">
      <c r="A3303">
        <v>5</v>
      </c>
    </row>
    <row r="3304" spans="1:1" x14ac:dyDescent="0.25">
      <c r="A3304">
        <v>5</v>
      </c>
    </row>
    <row r="3305" spans="1:1" x14ac:dyDescent="0.25">
      <c r="A3305">
        <v>5</v>
      </c>
    </row>
    <row r="3306" spans="1:1" x14ac:dyDescent="0.25">
      <c r="A3306">
        <v>2</v>
      </c>
    </row>
    <row r="3307" spans="1:1" x14ac:dyDescent="0.25">
      <c r="A3307">
        <v>5</v>
      </c>
    </row>
    <row r="3308" spans="1:1" x14ac:dyDescent="0.25">
      <c r="A3308">
        <v>3</v>
      </c>
    </row>
    <row r="3309" spans="1:1" x14ac:dyDescent="0.25">
      <c r="A3309">
        <v>4.75</v>
      </c>
    </row>
    <row r="3310" spans="1:1" x14ac:dyDescent="0.25">
      <c r="A3310">
        <v>5</v>
      </c>
    </row>
    <row r="3311" spans="1:1" x14ac:dyDescent="0.25">
      <c r="A3311">
        <v>4</v>
      </c>
    </row>
    <row r="3312" spans="1:1" x14ac:dyDescent="0.25">
      <c r="A3312">
        <v>1</v>
      </c>
    </row>
    <row r="3313" spans="1:1" x14ac:dyDescent="0.25">
      <c r="A3313">
        <v>1</v>
      </c>
    </row>
    <row r="3314" spans="1:1" x14ac:dyDescent="0.25">
      <c r="A3314">
        <v>5</v>
      </c>
    </row>
    <row r="3315" spans="1:1" x14ac:dyDescent="0.25">
      <c r="A3315">
        <v>5</v>
      </c>
    </row>
    <row r="3316" spans="1:1" x14ac:dyDescent="0.25">
      <c r="A3316">
        <v>5</v>
      </c>
    </row>
    <row r="3317" spans="1:1" x14ac:dyDescent="0.25">
      <c r="A3317">
        <v>5</v>
      </c>
    </row>
    <row r="3318" spans="1:1" x14ac:dyDescent="0.25">
      <c r="A3318">
        <v>5</v>
      </c>
    </row>
    <row r="3319" spans="1:1" x14ac:dyDescent="0.25">
      <c r="A3319">
        <v>1.75</v>
      </c>
    </row>
    <row r="3320" spans="1:1" x14ac:dyDescent="0.25">
      <c r="A3320">
        <v>5</v>
      </c>
    </row>
    <row r="3321" spans="1:1" x14ac:dyDescent="0.25">
      <c r="A3321">
        <v>5</v>
      </c>
    </row>
    <row r="3322" spans="1:1" x14ac:dyDescent="0.25">
      <c r="A3322">
        <v>5</v>
      </c>
    </row>
    <row r="3323" spans="1:1" x14ac:dyDescent="0.25">
      <c r="A3323">
        <v>5.25</v>
      </c>
    </row>
    <row r="3324" spans="1:1" x14ac:dyDescent="0.25">
      <c r="A3324">
        <v>3.5</v>
      </c>
    </row>
    <row r="3325" spans="1:1" x14ac:dyDescent="0.25">
      <c r="A3325">
        <v>5</v>
      </c>
    </row>
    <row r="3326" spans="1:1" x14ac:dyDescent="0.25">
      <c r="A3326">
        <v>3.25</v>
      </c>
    </row>
    <row r="3327" spans="1:1" x14ac:dyDescent="0.25">
      <c r="A3327">
        <v>1.75</v>
      </c>
    </row>
    <row r="3328" spans="1:1" x14ac:dyDescent="0.25">
      <c r="A3328">
        <v>5</v>
      </c>
    </row>
    <row r="3329" spans="1:1" x14ac:dyDescent="0.25">
      <c r="A3329">
        <v>5</v>
      </c>
    </row>
    <row r="3330" spans="1:1" x14ac:dyDescent="0.25">
      <c r="A3330">
        <v>10</v>
      </c>
    </row>
    <row r="3331" spans="1:1" x14ac:dyDescent="0.25">
      <c r="A3331">
        <v>2.5</v>
      </c>
    </row>
    <row r="3332" spans="1:1" x14ac:dyDescent="0.25">
      <c r="A3332">
        <v>5.625</v>
      </c>
    </row>
    <row r="3333" spans="1:1" x14ac:dyDescent="0.25">
      <c r="A3333">
        <v>3</v>
      </c>
    </row>
    <row r="3334" spans="1:1" x14ac:dyDescent="0.25">
      <c r="A3334">
        <v>0.25</v>
      </c>
    </row>
    <row r="3335" spans="1:1" x14ac:dyDescent="0.25">
      <c r="A3335">
        <v>5</v>
      </c>
    </row>
    <row r="3336" spans="1:1" x14ac:dyDescent="0.25">
      <c r="A3336">
        <v>5</v>
      </c>
    </row>
    <row r="3337" spans="1:1" x14ac:dyDescent="0.25">
      <c r="A3337">
        <v>3</v>
      </c>
    </row>
    <row r="3338" spans="1:1" x14ac:dyDescent="0.25">
      <c r="A3338">
        <v>5</v>
      </c>
    </row>
    <row r="3339" spans="1:1" x14ac:dyDescent="0.25">
      <c r="A3339">
        <v>3</v>
      </c>
    </row>
    <row r="3340" spans="1:1" x14ac:dyDescent="0.25">
      <c r="A3340">
        <v>2</v>
      </c>
    </row>
    <row r="3341" spans="1:1" x14ac:dyDescent="0.25">
      <c r="A3341">
        <v>3</v>
      </c>
    </row>
    <row r="3342" spans="1:1" x14ac:dyDescent="0.25">
      <c r="A3342">
        <v>3.5</v>
      </c>
    </row>
    <row r="3343" spans="1:1" x14ac:dyDescent="0.25">
      <c r="A3343">
        <v>5</v>
      </c>
    </row>
    <row r="3344" spans="1:1" x14ac:dyDescent="0.25">
      <c r="A3344">
        <v>5.25</v>
      </c>
    </row>
    <row r="3345" spans="1:1" x14ac:dyDescent="0.25">
      <c r="A3345">
        <v>6.75</v>
      </c>
    </row>
    <row r="3346" spans="1:1" x14ac:dyDescent="0.25">
      <c r="A3346">
        <v>8.25</v>
      </c>
    </row>
    <row r="3347" spans="1:1" x14ac:dyDescent="0.25">
      <c r="A3347">
        <v>0.5</v>
      </c>
    </row>
    <row r="3348" spans="1:1" x14ac:dyDescent="0.25">
      <c r="A3348">
        <v>7.125</v>
      </c>
    </row>
    <row r="3349" spans="1:1" x14ac:dyDescent="0.25">
      <c r="A3349">
        <v>7.5</v>
      </c>
    </row>
    <row r="3350" spans="1:1" x14ac:dyDescent="0.25">
      <c r="A3350">
        <v>7.5</v>
      </c>
    </row>
    <row r="3351" spans="1:1" x14ac:dyDescent="0.25">
      <c r="A3351">
        <v>5</v>
      </c>
    </row>
    <row r="3352" spans="1:1" x14ac:dyDescent="0.25">
      <c r="A3352">
        <v>5</v>
      </c>
    </row>
    <row r="3353" spans="1:1" x14ac:dyDescent="0.25">
      <c r="A3353">
        <v>2.25</v>
      </c>
    </row>
    <row r="3354" spans="1:1" x14ac:dyDescent="0.25">
      <c r="A3354">
        <v>9</v>
      </c>
    </row>
    <row r="3355" spans="1:1" x14ac:dyDescent="0.25">
      <c r="A3355">
        <v>6.75</v>
      </c>
    </row>
    <row r="3356" spans="1:1" x14ac:dyDescent="0.25">
      <c r="A3356">
        <v>7.5</v>
      </c>
    </row>
    <row r="3357" spans="1:1" x14ac:dyDescent="0.25">
      <c r="A3357">
        <v>7.5</v>
      </c>
    </row>
    <row r="3358" spans="1:1" x14ac:dyDescent="0.25">
      <c r="A3358">
        <v>7.5</v>
      </c>
    </row>
    <row r="3359" spans="1:1" x14ac:dyDescent="0.25">
      <c r="A3359">
        <v>1.5</v>
      </c>
    </row>
    <row r="3360" spans="1:1" x14ac:dyDescent="0.25">
      <c r="A3360">
        <v>1.125</v>
      </c>
    </row>
    <row r="3361" spans="1:1" x14ac:dyDescent="0.25">
      <c r="A3361">
        <v>7.5</v>
      </c>
    </row>
    <row r="3362" spans="1:1" x14ac:dyDescent="0.25">
      <c r="A3362">
        <v>9.75</v>
      </c>
    </row>
    <row r="3363" spans="1:1" x14ac:dyDescent="0.25">
      <c r="A3363">
        <v>12.375</v>
      </c>
    </row>
    <row r="3364" spans="1:1" x14ac:dyDescent="0.25">
      <c r="A3364">
        <v>7.5</v>
      </c>
    </row>
    <row r="3365" spans="1:1" x14ac:dyDescent="0.25">
      <c r="A3365">
        <v>7.5</v>
      </c>
    </row>
    <row r="3366" spans="1:1" x14ac:dyDescent="0.25">
      <c r="A3366">
        <v>3</v>
      </c>
    </row>
    <row r="3367" spans="1:1" x14ac:dyDescent="0.25">
      <c r="A3367">
        <v>7.5</v>
      </c>
    </row>
    <row r="3368" spans="1:1" x14ac:dyDescent="0.25">
      <c r="A3368">
        <v>7.5</v>
      </c>
    </row>
    <row r="3369" spans="1:1" x14ac:dyDescent="0.25">
      <c r="A3369">
        <v>7.5</v>
      </c>
    </row>
    <row r="3370" spans="1:1" x14ac:dyDescent="0.25">
      <c r="A3370">
        <v>4.5</v>
      </c>
    </row>
    <row r="3371" spans="1:1" x14ac:dyDescent="0.25">
      <c r="A3371">
        <v>5</v>
      </c>
    </row>
    <row r="3372" spans="1:1" x14ac:dyDescent="0.25">
      <c r="A3372">
        <v>10.875</v>
      </c>
    </row>
    <row r="3373" spans="1:1" x14ac:dyDescent="0.25">
      <c r="A3373">
        <v>9.75</v>
      </c>
    </row>
    <row r="3374" spans="1:1" x14ac:dyDescent="0.25">
      <c r="A3374">
        <v>8</v>
      </c>
    </row>
    <row r="3375" spans="1:1" x14ac:dyDescent="0.25">
      <c r="A3375">
        <v>2.25</v>
      </c>
    </row>
    <row r="3376" spans="1:1" x14ac:dyDescent="0.25">
      <c r="A3376">
        <v>4</v>
      </c>
    </row>
    <row r="3377" spans="1:1" x14ac:dyDescent="0.25">
      <c r="A3377">
        <v>7.5</v>
      </c>
    </row>
    <row r="3378" spans="1:1" x14ac:dyDescent="0.25">
      <c r="A3378">
        <v>5</v>
      </c>
    </row>
    <row r="3379" spans="1:1" x14ac:dyDescent="0.25">
      <c r="A3379">
        <v>2.625</v>
      </c>
    </row>
    <row r="3380" spans="1:1" x14ac:dyDescent="0.25">
      <c r="A3380">
        <v>12</v>
      </c>
    </row>
    <row r="3381" spans="1:1" x14ac:dyDescent="0.25">
      <c r="A3381">
        <v>4.5</v>
      </c>
    </row>
    <row r="3382" spans="1:1" x14ac:dyDescent="0.25">
      <c r="A3382">
        <v>7.5</v>
      </c>
    </row>
    <row r="3383" spans="1:1" x14ac:dyDescent="0.25">
      <c r="A3383">
        <v>7.5</v>
      </c>
    </row>
    <row r="3384" spans="1:1" x14ac:dyDescent="0.25">
      <c r="A3384">
        <v>5.25</v>
      </c>
    </row>
    <row r="3385" spans="1:1" x14ac:dyDescent="0.25">
      <c r="A3385">
        <v>1</v>
      </c>
    </row>
    <row r="3386" spans="1:1" x14ac:dyDescent="0.25">
      <c r="A3386">
        <v>9.375</v>
      </c>
    </row>
    <row r="3387" spans="1:1" x14ac:dyDescent="0.25">
      <c r="A3387">
        <v>3.375</v>
      </c>
    </row>
    <row r="3388" spans="1:1" x14ac:dyDescent="0.25">
      <c r="A3388">
        <v>1.25</v>
      </c>
    </row>
    <row r="3389" spans="1:1" x14ac:dyDescent="0.25">
      <c r="A3389">
        <v>5</v>
      </c>
    </row>
    <row r="3390" spans="1:1" x14ac:dyDescent="0.25">
      <c r="A3390">
        <v>5</v>
      </c>
    </row>
    <row r="3391" spans="1:1" x14ac:dyDescent="0.25">
      <c r="A3391">
        <v>1.875</v>
      </c>
    </row>
    <row r="3392" spans="1:1" x14ac:dyDescent="0.25">
      <c r="A3392">
        <v>2.75</v>
      </c>
    </row>
    <row r="3393" spans="1:1" x14ac:dyDescent="0.25">
      <c r="A3393">
        <v>7.5</v>
      </c>
    </row>
    <row r="3394" spans="1:1" x14ac:dyDescent="0.25">
      <c r="A3394">
        <v>9.375</v>
      </c>
    </row>
    <row r="3395" spans="1:1" x14ac:dyDescent="0.25">
      <c r="A3395">
        <v>12</v>
      </c>
    </row>
    <row r="3396" spans="1:1" x14ac:dyDescent="0.25">
      <c r="A3396">
        <v>4.5</v>
      </c>
    </row>
    <row r="3397" spans="1:1" x14ac:dyDescent="0.25">
      <c r="A3397">
        <v>7.5</v>
      </c>
    </row>
    <row r="3398" spans="1:1" x14ac:dyDescent="0.25">
      <c r="A3398">
        <v>5</v>
      </c>
    </row>
    <row r="3399" spans="1:1" x14ac:dyDescent="0.25">
      <c r="A3399">
        <v>7.5</v>
      </c>
    </row>
    <row r="3400" spans="1:1" x14ac:dyDescent="0.25">
      <c r="A3400">
        <v>6</v>
      </c>
    </row>
    <row r="3401" spans="1:1" x14ac:dyDescent="0.25">
      <c r="A3401">
        <v>13.125</v>
      </c>
    </row>
    <row r="3402" spans="1:1" x14ac:dyDescent="0.25">
      <c r="A3402">
        <v>2.5</v>
      </c>
    </row>
    <row r="3403" spans="1:1" x14ac:dyDescent="0.25">
      <c r="A3403">
        <v>10.125</v>
      </c>
    </row>
    <row r="3404" spans="1:1" x14ac:dyDescent="0.25">
      <c r="A3404">
        <v>6.75</v>
      </c>
    </row>
    <row r="3405" spans="1:1" x14ac:dyDescent="0.25">
      <c r="A3405">
        <v>2.625</v>
      </c>
    </row>
    <row r="3406" spans="1:1" x14ac:dyDescent="0.25">
      <c r="A3406">
        <v>7.5</v>
      </c>
    </row>
    <row r="3407" spans="1:1" x14ac:dyDescent="0.25">
      <c r="A3407">
        <v>1.25</v>
      </c>
    </row>
    <row r="3408" spans="1:1" x14ac:dyDescent="0.25">
      <c r="A3408">
        <v>3</v>
      </c>
    </row>
    <row r="3409" spans="1:1" x14ac:dyDescent="0.25">
      <c r="A3409">
        <v>7.5</v>
      </c>
    </row>
    <row r="3410" spans="1:1" x14ac:dyDescent="0.25">
      <c r="A3410">
        <v>7.5</v>
      </c>
    </row>
    <row r="3411" spans="1:1" x14ac:dyDescent="0.25">
      <c r="A3411">
        <v>7.875</v>
      </c>
    </row>
    <row r="3412" spans="1:1" x14ac:dyDescent="0.25">
      <c r="A3412">
        <v>12</v>
      </c>
    </row>
    <row r="3413" spans="1:1" x14ac:dyDescent="0.25">
      <c r="A3413">
        <v>12</v>
      </c>
    </row>
    <row r="3414" spans="1:1" x14ac:dyDescent="0.25">
      <c r="A3414">
        <v>3</v>
      </c>
    </row>
    <row r="3415" spans="1:1" x14ac:dyDescent="0.25">
      <c r="A3415">
        <v>7.5</v>
      </c>
    </row>
    <row r="3416" spans="1:1" x14ac:dyDescent="0.25">
      <c r="A3416">
        <v>2.5</v>
      </c>
    </row>
    <row r="3417" spans="1:1" x14ac:dyDescent="0.25">
      <c r="A3417">
        <v>7.5</v>
      </c>
    </row>
    <row r="3418" spans="1:1" x14ac:dyDescent="0.25">
      <c r="A3418">
        <v>6</v>
      </c>
    </row>
    <row r="3419" spans="1:1" x14ac:dyDescent="0.25">
      <c r="A3419">
        <v>5</v>
      </c>
    </row>
    <row r="3420" spans="1:1" x14ac:dyDescent="0.25">
      <c r="A3420">
        <v>5</v>
      </c>
    </row>
    <row r="3421" spans="1:1" x14ac:dyDescent="0.25">
      <c r="A3421">
        <v>5</v>
      </c>
    </row>
    <row r="3422" spans="1:1" x14ac:dyDescent="0.25">
      <c r="A3422">
        <v>7.5</v>
      </c>
    </row>
    <row r="3423" spans="1:1" x14ac:dyDescent="0.25">
      <c r="A3423">
        <v>7.5</v>
      </c>
    </row>
    <row r="3424" spans="1:1" x14ac:dyDescent="0.25">
      <c r="A3424">
        <v>7.5</v>
      </c>
    </row>
    <row r="3425" spans="1:1" x14ac:dyDescent="0.25">
      <c r="A3425">
        <v>8.625</v>
      </c>
    </row>
    <row r="3426" spans="1:1" x14ac:dyDescent="0.25">
      <c r="A3426">
        <v>2</v>
      </c>
    </row>
    <row r="3427" spans="1:1" x14ac:dyDescent="0.25">
      <c r="A3427">
        <v>7.5</v>
      </c>
    </row>
    <row r="3428" spans="1:1" x14ac:dyDescent="0.25">
      <c r="A3428">
        <v>7.125</v>
      </c>
    </row>
    <row r="3429" spans="1:1" x14ac:dyDescent="0.25">
      <c r="A3429">
        <v>1.875</v>
      </c>
    </row>
    <row r="3430" spans="1:1" x14ac:dyDescent="0.25">
      <c r="A3430">
        <v>3.75</v>
      </c>
    </row>
    <row r="3431" spans="1:1" x14ac:dyDescent="0.25">
      <c r="A3431">
        <v>3.375</v>
      </c>
    </row>
    <row r="3432" spans="1:1" x14ac:dyDescent="0.25">
      <c r="A3432">
        <v>0.375</v>
      </c>
    </row>
    <row r="3433" spans="1:1" x14ac:dyDescent="0.25">
      <c r="A3433">
        <v>5.25</v>
      </c>
    </row>
    <row r="3434" spans="1:1" x14ac:dyDescent="0.25">
      <c r="A3434">
        <v>3.25</v>
      </c>
    </row>
    <row r="3435" spans="1:1" x14ac:dyDescent="0.25">
      <c r="A3435">
        <v>6</v>
      </c>
    </row>
    <row r="3436" spans="1:1" x14ac:dyDescent="0.25">
      <c r="A3436">
        <v>6.75</v>
      </c>
    </row>
    <row r="3437" spans="1:1" x14ac:dyDescent="0.25">
      <c r="A3437">
        <v>7.5</v>
      </c>
    </row>
    <row r="3438" spans="1:1" x14ac:dyDescent="0.25">
      <c r="A3438">
        <v>5.25</v>
      </c>
    </row>
    <row r="3439" spans="1:1" x14ac:dyDescent="0.25">
      <c r="A3439">
        <v>3.375</v>
      </c>
    </row>
    <row r="3440" spans="1:1" x14ac:dyDescent="0.25">
      <c r="A3440">
        <v>7.5</v>
      </c>
    </row>
    <row r="3441" spans="1:1" x14ac:dyDescent="0.25">
      <c r="A3441">
        <v>8.25</v>
      </c>
    </row>
    <row r="3442" spans="1:1" x14ac:dyDescent="0.25">
      <c r="A3442">
        <v>8.625</v>
      </c>
    </row>
    <row r="3443" spans="1:1" x14ac:dyDescent="0.25">
      <c r="A3443">
        <v>3.25</v>
      </c>
    </row>
    <row r="3444" spans="1:1" x14ac:dyDescent="0.25">
      <c r="A3444">
        <v>12</v>
      </c>
    </row>
    <row r="3445" spans="1:1" x14ac:dyDescent="0.25">
      <c r="A3445">
        <v>3</v>
      </c>
    </row>
    <row r="3446" spans="1:1" x14ac:dyDescent="0.25">
      <c r="A3446">
        <v>10.875</v>
      </c>
    </row>
    <row r="3447" spans="1:1" x14ac:dyDescent="0.25">
      <c r="A3447">
        <v>4.875</v>
      </c>
    </row>
    <row r="3448" spans="1:1" x14ac:dyDescent="0.25">
      <c r="A3448">
        <v>0.5</v>
      </c>
    </row>
    <row r="3449" spans="1:1" x14ac:dyDescent="0.25">
      <c r="A3449">
        <v>7.5</v>
      </c>
    </row>
    <row r="3450" spans="1:1" x14ac:dyDescent="0.25">
      <c r="A3450">
        <v>5.25</v>
      </c>
    </row>
    <row r="3451" spans="1:1" x14ac:dyDescent="0.25">
      <c r="A3451">
        <v>6.375</v>
      </c>
    </row>
    <row r="3452" spans="1:1" x14ac:dyDescent="0.25">
      <c r="A3452">
        <v>7.125</v>
      </c>
    </row>
    <row r="3453" spans="1:1" x14ac:dyDescent="0.25">
      <c r="A3453">
        <v>6.75</v>
      </c>
    </row>
    <row r="3454" spans="1:1" x14ac:dyDescent="0.25">
      <c r="A3454">
        <v>5</v>
      </c>
    </row>
    <row r="3455" spans="1:1" x14ac:dyDescent="0.25">
      <c r="A3455">
        <v>4</v>
      </c>
    </row>
    <row r="3456" spans="1:1" x14ac:dyDescent="0.25">
      <c r="A3456">
        <v>1</v>
      </c>
    </row>
    <row r="3457" spans="1:1" x14ac:dyDescent="0.25">
      <c r="A3457">
        <v>7.5</v>
      </c>
    </row>
    <row r="3458" spans="1:1" x14ac:dyDescent="0.25">
      <c r="A3458">
        <v>9</v>
      </c>
    </row>
    <row r="3459" spans="1:1" x14ac:dyDescent="0.25">
      <c r="A3459">
        <v>5</v>
      </c>
    </row>
    <row r="3460" spans="1:1" x14ac:dyDescent="0.25">
      <c r="A3460">
        <v>3</v>
      </c>
    </row>
    <row r="3461" spans="1:1" x14ac:dyDescent="0.25">
      <c r="A3461">
        <v>1</v>
      </c>
    </row>
    <row r="3462" spans="1:1" x14ac:dyDescent="0.25">
      <c r="A3462">
        <v>7.5</v>
      </c>
    </row>
    <row r="3463" spans="1:1" x14ac:dyDescent="0.25">
      <c r="A3463">
        <v>7.5</v>
      </c>
    </row>
    <row r="3464" spans="1:1" x14ac:dyDescent="0.25">
      <c r="A3464">
        <v>7.125</v>
      </c>
    </row>
    <row r="3465" spans="1:1" x14ac:dyDescent="0.25">
      <c r="A3465">
        <v>7.5</v>
      </c>
    </row>
    <row r="3466" spans="1:1" x14ac:dyDescent="0.25">
      <c r="A3466">
        <v>2.625</v>
      </c>
    </row>
    <row r="3467" spans="1:1" x14ac:dyDescent="0.25">
      <c r="A3467">
        <v>1.125</v>
      </c>
    </row>
    <row r="3468" spans="1:1" x14ac:dyDescent="0.25">
      <c r="A3468">
        <v>2.75</v>
      </c>
    </row>
    <row r="3469" spans="1:1" x14ac:dyDescent="0.25">
      <c r="A3469">
        <v>6</v>
      </c>
    </row>
    <row r="3470" spans="1:1" x14ac:dyDescent="0.25">
      <c r="A3470">
        <v>4.5</v>
      </c>
    </row>
    <row r="3471" spans="1:1" x14ac:dyDescent="0.25">
      <c r="A3471">
        <v>7.5</v>
      </c>
    </row>
    <row r="3472" spans="1:1" x14ac:dyDescent="0.25">
      <c r="A3472">
        <v>2</v>
      </c>
    </row>
    <row r="3473" spans="1:1" x14ac:dyDescent="0.25">
      <c r="A3473">
        <v>0.5</v>
      </c>
    </row>
    <row r="3474" spans="1:1" x14ac:dyDescent="0.25">
      <c r="A3474">
        <v>5</v>
      </c>
    </row>
    <row r="3475" spans="1:1" x14ac:dyDescent="0.25">
      <c r="A3475">
        <v>6</v>
      </c>
    </row>
    <row r="3476" spans="1:1" x14ac:dyDescent="0.25">
      <c r="A3476">
        <v>1</v>
      </c>
    </row>
    <row r="3477" spans="1:1" x14ac:dyDescent="0.25">
      <c r="A3477">
        <v>7.875</v>
      </c>
    </row>
    <row r="3478" spans="1:1" x14ac:dyDescent="0.25">
      <c r="A3478">
        <v>7.5</v>
      </c>
    </row>
    <row r="3479" spans="1:1" x14ac:dyDescent="0.25">
      <c r="A3479">
        <v>7.5</v>
      </c>
    </row>
    <row r="3480" spans="1:1" x14ac:dyDescent="0.25">
      <c r="A3480">
        <v>7.5</v>
      </c>
    </row>
    <row r="3481" spans="1:1" x14ac:dyDescent="0.25">
      <c r="A3481">
        <v>7.5</v>
      </c>
    </row>
    <row r="3482" spans="1:1" x14ac:dyDescent="0.25">
      <c r="A3482">
        <v>7.5</v>
      </c>
    </row>
    <row r="3483" spans="1:1" x14ac:dyDescent="0.25">
      <c r="A3483">
        <v>6.375</v>
      </c>
    </row>
    <row r="3484" spans="1:1" x14ac:dyDescent="0.25">
      <c r="A3484">
        <v>1.125</v>
      </c>
    </row>
    <row r="3485" spans="1:1" x14ac:dyDescent="0.25">
      <c r="A3485">
        <v>7</v>
      </c>
    </row>
    <row r="3486" spans="1:1" x14ac:dyDescent="0.25">
      <c r="A3486">
        <v>8.25</v>
      </c>
    </row>
    <row r="3487" spans="1:1" x14ac:dyDescent="0.25">
      <c r="A3487">
        <v>7.5</v>
      </c>
    </row>
    <row r="3488" spans="1:1" x14ac:dyDescent="0.25">
      <c r="A3488">
        <v>8.625</v>
      </c>
    </row>
    <row r="3489" spans="1:1" x14ac:dyDescent="0.25">
      <c r="A3489">
        <v>6</v>
      </c>
    </row>
    <row r="3490" spans="1:1" x14ac:dyDescent="0.25">
      <c r="A3490">
        <v>7.5</v>
      </c>
    </row>
    <row r="3491" spans="1:1" x14ac:dyDescent="0.25">
      <c r="A3491">
        <v>5</v>
      </c>
    </row>
    <row r="3492" spans="1:1" x14ac:dyDescent="0.25">
      <c r="A3492">
        <v>7.5</v>
      </c>
    </row>
    <row r="3493" spans="1:1" x14ac:dyDescent="0.25">
      <c r="A3493">
        <v>6.375</v>
      </c>
    </row>
    <row r="3494" spans="1:1" x14ac:dyDescent="0.25">
      <c r="A3494">
        <v>3.25</v>
      </c>
    </row>
    <row r="3495" spans="1:1" x14ac:dyDescent="0.25">
      <c r="A3495">
        <v>1.875</v>
      </c>
    </row>
    <row r="3496" spans="1:1" x14ac:dyDescent="0.25">
      <c r="A3496">
        <v>5.625</v>
      </c>
    </row>
    <row r="3497" spans="1:1" x14ac:dyDescent="0.25">
      <c r="A3497">
        <v>7.875</v>
      </c>
    </row>
    <row r="3498" spans="1:1" x14ac:dyDescent="0.25">
      <c r="A3498">
        <v>7.5</v>
      </c>
    </row>
    <row r="3499" spans="1:1" x14ac:dyDescent="0.25">
      <c r="A3499">
        <v>2.25</v>
      </c>
    </row>
    <row r="3500" spans="1:1" x14ac:dyDescent="0.25">
      <c r="A3500">
        <v>7.5</v>
      </c>
    </row>
    <row r="3501" spans="1:1" x14ac:dyDescent="0.25">
      <c r="A3501">
        <v>7.5</v>
      </c>
    </row>
    <row r="3502" spans="1:1" x14ac:dyDescent="0.25">
      <c r="A3502">
        <v>7.125</v>
      </c>
    </row>
    <row r="3503" spans="1:1" x14ac:dyDescent="0.25">
      <c r="A3503">
        <v>0.75</v>
      </c>
    </row>
    <row r="3504" spans="1:1" x14ac:dyDescent="0.25">
      <c r="A3504">
        <v>7.5</v>
      </c>
    </row>
    <row r="3505" spans="1:1" x14ac:dyDescent="0.25">
      <c r="A3505">
        <v>7.5</v>
      </c>
    </row>
    <row r="3506" spans="1:1" x14ac:dyDescent="0.25">
      <c r="A3506">
        <v>5</v>
      </c>
    </row>
    <row r="3507" spans="1:1" x14ac:dyDescent="0.25">
      <c r="A3507">
        <v>6</v>
      </c>
    </row>
    <row r="3508" spans="1:1" x14ac:dyDescent="0.25">
      <c r="A3508">
        <v>4</v>
      </c>
    </row>
    <row r="3509" spans="1:1" x14ac:dyDescent="0.25">
      <c r="A3509">
        <v>5</v>
      </c>
    </row>
    <row r="3510" spans="1:1" x14ac:dyDescent="0.25">
      <c r="A3510">
        <v>6</v>
      </c>
    </row>
    <row r="3511" spans="1:1" x14ac:dyDescent="0.25">
      <c r="A3511">
        <v>8.25</v>
      </c>
    </row>
    <row r="3512" spans="1:1" x14ac:dyDescent="0.25">
      <c r="A3512">
        <v>7.5</v>
      </c>
    </row>
    <row r="3513" spans="1:1" x14ac:dyDescent="0.25">
      <c r="A3513">
        <v>14.25</v>
      </c>
    </row>
    <row r="3514" spans="1:1" x14ac:dyDescent="0.25">
      <c r="A3514">
        <v>7.5</v>
      </c>
    </row>
    <row r="3515" spans="1:1" x14ac:dyDescent="0.25">
      <c r="A3515">
        <v>2.25</v>
      </c>
    </row>
    <row r="3516" spans="1:1" x14ac:dyDescent="0.25">
      <c r="A3516">
        <v>12</v>
      </c>
    </row>
    <row r="3517" spans="1:1" x14ac:dyDescent="0.25">
      <c r="A3517">
        <v>8</v>
      </c>
    </row>
    <row r="3518" spans="1:1" x14ac:dyDescent="0.25">
      <c r="A3518">
        <v>4.5</v>
      </c>
    </row>
    <row r="3519" spans="1:1" x14ac:dyDescent="0.25">
      <c r="A3519">
        <v>7.5</v>
      </c>
    </row>
    <row r="3520" spans="1:1" x14ac:dyDescent="0.25">
      <c r="A3520">
        <v>18</v>
      </c>
    </row>
    <row r="3521" spans="1:1" x14ac:dyDescent="0.25">
      <c r="A3521">
        <v>1.125</v>
      </c>
    </row>
    <row r="3522" spans="1:1" x14ac:dyDescent="0.25">
      <c r="A3522">
        <v>2</v>
      </c>
    </row>
    <row r="3523" spans="1:1" x14ac:dyDescent="0.25">
      <c r="A3523">
        <v>6.375</v>
      </c>
    </row>
    <row r="3524" spans="1:1" x14ac:dyDescent="0.25">
      <c r="A3524">
        <v>8</v>
      </c>
    </row>
    <row r="3525" spans="1:1" x14ac:dyDescent="0.25">
      <c r="A3525">
        <v>3</v>
      </c>
    </row>
    <row r="3526" spans="1:1" x14ac:dyDescent="0.25">
      <c r="A3526">
        <v>7.5</v>
      </c>
    </row>
    <row r="3527" spans="1:1" x14ac:dyDescent="0.25">
      <c r="A3527">
        <v>1.5</v>
      </c>
    </row>
    <row r="3528" spans="1:1" x14ac:dyDescent="0.25">
      <c r="A3528">
        <v>7.5</v>
      </c>
    </row>
    <row r="3529" spans="1:1" x14ac:dyDescent="0.25">
      <c r="A3529">
        <v>3.375</v>
      </c>
    </row>
    <row r="3530" spans="1:1" x14ac:dyDescent="0.25">
      <c r="A3530">
        <v>5</v>
      </c>
    </row>
    <row r="3531" spans="1:1" x14ac:dyDescent="0.25">
      <c r="A3531">
        <v>7.5</v>
      </c>
    </row>
    <row r="3532" spans="1:1" x14ac:dyDescent="0.25">
      <c r="A3532">
        <v>7.5</v>
      </c>
    </row>
    <row r="3533" spans="1:1" x14ac:dyDescent="0.25">
      <c r="A3533">
        <v>5.25</v>
      </c>
    </row>
    <row r="3534" spans="1:1" x14ac:dyDescent="0.25">
      <c r="A3534">
        <v>5</v>
      </c>
    </row>
    <row r="3535" spans="1:1" x14ac:dyDescent="0.25">
      <c r="A3535">
        <v>8.25</v>
      </c>
    </row>
    <row r="3536" spans="1:1" x14ac:dyDescent="0.25">
      <c r="A3536">
        <v>5</v>
      </c>
    </row>
    <row r="3537" spans="1:1" x14ac:dyDescent="0.25">
      <c r="A3537">
        <v>4.75</v>
      </c>
    </row>
    <row r="3538" spans="1:1" x14ac:dyDescent="0.25">
      <c r="A3538">
        <v>7.5</v>
      </c>
    </row>
    <row r="3539" spans="1:1" x14ac:dyDescent="0.25">
      <c r="A3539">
        <v>10.5</v>
      </c>
    </row>
    <row r="3540" spans="1:1" x14ac:dyDescent="0.25">
      <c r="A3540">
        <v>7.5</v>
      </c>
    </row>
    <row r="3541" spans="1:1" x14ac:dyDescent="0.25">
      <c r="A3541">
        <v>7.5</v>
      </c>
    </row>
    <row r="3542" spans="1:1" x14ac:dyDescent="0.25">
      <c r="A3542">
        <v>7.5</v>
      </c>
    </row>
    <row r="3543" spans="1:1" x14ac:dyDescent="0.25">
      <c r="A3543">
        <v>0.75</v>
      </c>
    </row>
    <row r="3544" spans="1:1" x14ac:dyDescent="0.25">
      <c r="A3544">
        <v>7.5</v>
      </c>
    </row>
    <row r="3545" spans="1:1" x14ac:dyDescent="0.25">
      <c r="A3545">
        <v>7.5</v>
      </c>
    </row>
    <row r="3546" spans="1:1" x14ac:dyDescent="0.25">
      <c r="A3546">
        <v>7.5</v>
      </c>
    </row>
    <row r="3547" spans="1:1" x14ac:dyDescent="0.25">
      <c r="A3547">
        <v>7.5</v>
      </c>
    </row>
    <row r="3548" spans="1:1" x14ac:dyDescent="0.25">
      <c r="A3548">
        <v>1.5</v>
      </c>
    </row>
    <row r="3549" spans="1:1" x14ac:dyDescent="0.25">
      <c r="A3549">
        <v>10.5</v>
      </c>
    </row>
    <row r="3550" spans="1:1" x14ac:dyDescent="0.25">
      <c r="A3550">
        <v>4</v>
      </c>
    </row>
    <row r="3551" spans="1:1" x14ac:dyDescent="0.25">
      <c r="A3551">
        <v>12</v>
      </c>
    </row>
    <row r="3552" spans="1:1" x14ac:dyDescent="0.25">
      <c r="A3552">
        <v>1</v>
      </c>
    </row>
    <row r="3553" spans="1:1" x14ac:dyDescent="0.25">
      <c r="A3553">
        <v>12</v>
      </c>
    </row>
    <row r="3554" spans="1:1" x14ac:dyDescent="0.25">
      <c r="A3554">
        <v>3.25</v>
      </c>
    </row>
    <row r="3555" spans="1:1" x14ac:dyDescent="0.25">
      <c r="A3555">
        <v>12</v>
      </c>
    </row>
    <row r="3556" spans="1:1" x14ac:dyDescent="0.25">
      <c r="A3556">
        <v>6.25</v>
      </c>
    </row>
    <row r="3557" spans="1:1" x14ac:dyDescent="0.25">
      <c r="A3557">
        <v>5</v>
      </c>
    </row>
    <row r="3558" spans="1:1" x14ac:dyDescent="0.25">
      <c r="A3558">
        <v>4.5</v>
      </c>
    </row>
    <row r="3559" spans="1:1" x14ac:dyDescent="0.25">
      <c r="A3559">
        <v>5</v>
      </c>
    </row>
    <row r="3560" spans="1:1" x14ac:dyDescent="0.25">
      <c r="A3560">
        <v>5</v>
      </c>
    </row>
    <row r="3561" spans="1:1" x14ac:dyDescent="0.25">
      <c r="A3561">
        <v>1.125</v>
      </c>
    </row>
    <row r="3562" spans="1:1" x14ac:dyDescent="0.25">
      <c r="A3562">
        <v>4</v>
      </c>
    </row>
    <row r="3563" spans="1:1" x14ac:dyDescent="0.25">
      <c r="A3563">
        <v>5</v>
      </c>
    </row>
    <row r="3564" spans="1:1" x14ac:dyDescent="0.25">
      <c r="A3564">
        <v>9.5</v>
      </c>
    </row>
    <row r="3565" spans="1:1" x14ac:dyDescent="0.25">
      <c r="A3565">
        <v>5</v>
      </c>
    </row>
    <row r="3566" spans="1:1" x14ac:dyDescent="0.25">
      <c r="A3566">
        <v>4</v>
      </c>
    </row>
    <row r="3567" spans="1:1" x14ac:dyDescent="0.25">
      <c r="A3567">
        <v>10</v>
      </c>
    </row>
    <row r="3568" spans="1:1" x14ac:dyDescent="0.25">
      <c r="A3568">
        <v>1.5</v>
      </c>
    </row>
    <row r="3569" spans="1:1" x14ac:dyDescent="0.25">
      <c r="A3569">
        <v>1.125</v>
      </c>
    </row>
    <row r="3570" spans="1:1" x14ac:dyDescent="0.25">
      <c r="A3570">
        <v>3.75</v>
      </c>
    </row>
    <row r="3571" spans="1:1" x14ac:dyDescent="0.25">
      <c r="A3571">
        <v>5</v>
      </c>
    </row>
    <row r="3572" spans="1:1" x14ac:dyDescent="0.25">
      <c r="A3572">
        <v>1.25</v>
      </c>
    </row>
    <row r="3573" spans="1:1" x14ac:dyDescent="0.25">
      <c r="A3573">
        <v>5</v>
      </c>
    </row>
    <row r="3574" spans="1:1" x14ac:dyDescent="0.25">
      <c r="A3574">
        <v>5</v>
      </c>
    </row>
    <row r="3575" spans="1:1" x14ac:dyDescent="0.25">
      <c r="A3575">
        <v>5.25</v>
      </c>
    </row>
    <row r="3576" spans="1:1" x14ac:dyDescent="0.25">
      <c r="A3576">
        <v>1.5</v>
      </c>
    </row>
    <row r="3577" spans="1:1" x14ac:dyDescent="0.25">
      <c r="A3577">
        <v>1.125</v>
      </c>
    </row>
    <row r="3578" spans="1:1" x14ac:dyDescent="0.25">
      <c r="A3578">
        <v>10</v>
      </c>
    </row>
    <row r="3579" spans="1:1" x14ac:dyDescent="0.25">
      <c r="A3579">
        <v>1.125</v>
      </c>
    </row>
    <row r="3580" spans="1:1" x14ac:dyDescent="0.25">
      <c r="A3580">
        <v>7.125</v>
      </c>
    </row>
    <row r="3581" spans="1:1" x14ac:dyDescent="0.25">
      <c r="A3581">
        <v>4.25</v>
      </c>
    </row>
    <row r="3582" spans="1:1" x14ac:dyDescent="0.25">
      <c r="A3582">
        <v>5</v>
      </c>
    </row>
    <row r="3583" spans="1:1" x14ac:dyDescent="0.25">
      <c r="A3583">
        <v>5</v>
      </c>
    </row>
    <row r="3584" spans="1:1" x14ac:dyDescent="0.25">
      <c r="A3584">
        <v>5</v>
      </c>
    </row>
    <row r="3585" spans="1:1" x14ac:dyDescent="0.25">
      <c r="A3585">
        <v>5.75</v>
      </c>
    </row>
    <row r="3586" spans="1:1" x14ac:dyDescent="0.25">
      <c r="A3586">
        <v>5</v>
      </c>
    </row>
    <row r="3587" spans="1:1" x14ac:dyDescent="0.25">
      <c r="A3587">
        <v>5</v>
      </c>
    </row>
    <row r="3588" spans="1:1" x14ac:dyDescent="0.25">
      <c r="A3588">
        <v>5</v>
      </c>
    </row>
    <row r="3589" spans="1:1" x14ac:dyDescent="0.25">
      <c r="A3589">
        <v>5</v>
      </c>
    </row>
    <row r="3590" spans="1:1" x14ac:dyDescent="0.25">
      <c r="A3590">
        <v>0.75</v>
      </c>
    </row>
    <row r="3591" spans="1:1" x14ac:dyDescent="0.25">
      <c r="A3591">
        <v>5</v>
      </c>
    </row>
    <row r="3592" spans="1:1" x14ac:dyDescent="0.25">
      <c r="A3592">
        <v>5</v>
      </c>
    </row>
    <row r="3593" spans="1:1" x14ac:dyDescent="0.25">
      <c r="A3593">
        <v>7.5</v>
      </c>
    </row>
    <row r="3594" spans="1:1" x14ac:dyDescent="0.25">
      <c r="A3594">
        <v>12.375</v>
      </c>
    </row>
    <row r="3595" spans="1:1" x14ac:dyDescent="0.25">
      <c r="A3595">
        <v>6.75</v>
      </c>
    </row>
    <row r="3596" spans="1:1" x14ac:dyDescent="0.25">
      <c r="A3596">
        <v>0.25</v>
      </c>
    </row>
    <row r="3597" spans="1:1" x14ac:dyDescent="0.25">
      <c r="A3597">
        <v>3</v>
      </c>
    </row>
    <row r="3598" spans="1:1" x14ac:dyDescent="0.25">
      <c r="A3598">
        <v>3.375</v>
      </c>
    </row>
    <row r="3599" spans="1:1" x14ac:dyDescent="0.25">
      <c r="A3599">
        <v>1.75</v>
      </c>
    </row>
    <row r="3600" spans="1:1" x14ac:dyDescent="0.25">
      <c r="A3600">
        <v>6.5</v>
      </c>
    </row>
    <row r="3601" spans="1:1" x14ac:dyDescent="0.25">
      <c r="A3601">
        <v>5</v>
      </c>
    </row>
    <row r="3602" spans="1:1" x14ac:dyDescent="0.25">
      <c r="A3602">
        <v>9.75</v>
      </c>
    </row>
    <row r="3603" spans="1:1" x14ac:dyDescent="0.25">
      <c r="A3603">
        <v>10</v>
      </c>
    </row>
    <row r="3604" spans="1:1" x14ac:dyDescent="0.25">
      <c r="A3604">
        <v>7.5</v>
      </c>
    </row>
    <row r="3605" spans="1:1" x14ac:dyDescent="0.25">
      <c r="A3605">
        <v>3</v>
      </c>
    </row>
    <row r="3606" spans="1:1" x14ac:dyDescent="0.25">
      <c r="A3606">
        <v>7.5</v>
      </c>
    </row>
    <row r="3607" spans="1:1" x14ac:dyDescent="0.25">
      <c r="A3607">
        <v>7.5</v>
      </c>
    </row>
    <row r="3608" spans="1:1" x14ac:dyDescent="0.25">
      <c r="A3608">
        <v>5</v>
      </c>
    </row>
    <row r="3609" spans="1:1" x14ac:dyDescent="0.25">
      <c r="A3609">
        <v>7.5</v>
      </c>
    </row>
    <row r="3610" spans="1:1" x14ac:dyDescent="0.25">
      <c r="A3610">
        <v>7.5</v>
      </c>
    </row>
    <row r="3611" spans="1:1" x14ac:dyDescent="0.25">
      <c r="A3611">
        <v>6</v>
      </c>
    </row>
    <row r="3612" spans="1:1" x14ac:dyDescent="0.25">
      <c r="A3612">
        <v>7.125</v>
      </c>
    </row>
    <row r="3613" spans="1:1" x14ac:dyDescent="0.25">
      <c r="A3613">
        <v>5</v>
      </c>
    </row>
    <row r="3614" spans="1:1" x14ac:dyDescent="0.25">
      <c r="A3614">
        <v>10.5</v>
      </c>
    </row>
    <row r="3615" spans="1:1" x14ac:dyDescent="0.25">
      <c r="A3615">
        <v>7.5</v>
      </c>
    </row>
    <row r="3616" spans="1:1" x14ac:dyDescent="0.25">
      <c r="A3616">
        <v>7.5</v>
      </c>
    </row>
    <row r="3617" spans="1:1" x14ac:dyDescent="0.25">
      <c r="A3617">
        <v>8.25</v>
      </c>
    </row>
    <row r="3618" spans="1:1" x14ac:dyDescent="0.25">
      <c r="A3618">
        <v>7.875</v>
      </c>
    </row>
    <row r="3619" spans="1:1" x14ac:dyDescent="0.25">
      <c r="A3619">
        <v>2.25</v>
      </c>
    </row>
    <row r="3620" spans="1:1" x14ac:dyDescent="0.25">
      <c r="A3620">
        <v>5</v>
      </c>
    </row>
    <row r="3621" spans="1:1" x14ac:dyDescent="0.25">
      <c r="A3621">
        <v>1.25</v>
      </c>
    </row>
    <row r="3622" spans="1:1" x14ac:dyDescent="0.25">
      <c r="A3622">
        <v>5</v>
      </c>
    </row>
    <row r="3623" spans="1:1" x14ac:dyDescent="0.25">
      <c r="A3623">
        <v>1.5</v>
      </c>
    </row>
    <row r="3624" spans="1:1" x14ac:dyDescent="0.25">
      <c r="A3624">
        <v>12</v>
      </c>
    </row>
    <row r="3625" spans="1:1" x14ac:dyDescent="0.25">
      <c r="A3625">
        <v>0.75</v>
      </c>
    </row>
    <row r="3626" spans="1:1" x14ac:dyDescent="0.25">
      <c r="A3626">
        <v>0.25</v>
      </c>
    </row>
    <row r="3627" spans="1:1" x14ac:dyDescent="0.25">
      <c r="A3627">
        <v>10.125</v>
      </c>
    </row>
    <row r="3628" spans="1:1" x14ac:dyDescent="0.25">
      <c r="A3628">
        <v>3</v>
      </c>
    </row>
    <row r="3629" spans="1:1" x14ac:dyDescent="0.25">
      <c r="A3629">
        <v>5.625</v>
      </c>
    </row>
    <row r="3630" spans="1:1" x14ac:dyDescent="0.25">
      <c r="A3630">
        <v>1</v>
      </c>
    </row>
    <row r="3631" spans="1:1" x14ac:dyDescent="0.25">
      <c r="A3631">
        <v>7.5</v>
      </c>
    </row>
    <row r="3632" spans="1:1" x14ac:dyDescent="0.25">
      <c r="A3632">
        <v>9.75</v>
      </c>
    </row>
    <row r="3633" spans="1:1" x14ac:dyDescent="0.25">
      <c r="A3633">
        <v>3</v>
      </c>
    </row>
    <row r="3634" spans="1:1" x14ac:dyDescent="0.25">
      <c r="A3634">
        <v>4.875</v>
      </c>
    </row>
    <row r="3635" spans="1:1" x14ac:dyDescent="0.25">
      <c r="A3635">
        <v>1</v>
      </c>
    </row>
    <row r="3636" spans="1:1" x14ac:dyDescent="0.25">
      <c r="A3636">
        <v>6.25</v>
      </c>
    </row>
    <row r="3637" spans="1:1" x14ac:dyDescent="0.25">
      <c r="A3637">
        <v>5</v>
      </c>
    </row>
    <row r="3638" spans="1:1" x14ac:dyDescent="0.25">
      <c r="A3638">
        <v>1</v>
      </c>
    </row>
    <row r="3639" spans="1:1" x14ac:dyDescent="0.25">
      <c r="A3639">
        <v>5</v>
      </c>
    </row>
    <row r="3640" spans="1:1" x14ac:dyDescent="0.25">
      <c r="A3640">
        <v>7.5</v>
      </c>
    </row>
    <row r="3641" spans="1:1" x14ac:dyDescent="0.25">
      <c r="A3641">
        <v>7.875</v>
      </c>
    </row>
    <row r="3642" spans="1:1" x14ac:dyDescent="0.25">
      <c r="A3642">
        <v>5</v>
      </c>
    </row>
    <row r="3643" spans="1:1" x14ac:dyDescent="0.25">
      <c r="A3643">
        <v>7.5</v>
      </c>
    </row>
    <row r="3644" spans="1:1" x14ac:dyDescent="0.25">
      <c r="A3644">
        <v>3.75</v>
      </c>
    </row>
    <row r="3645" spans="1:1" x14ac:dyDescent="0.25">
      <c r="A3645">
        <v>4.125</v>
      </c>
    </row>
    <row r="3646" spans="1:1" x14ac:dyDescent="0.25">
      <c r="A3646">
        <v>5.25</v>
      </c>
    </row>
    <row r="3647" spans="1:1" x14ac:dyDescent="0.25">
      <c r="A3647">
        <v>2.5</v>
      </c>
    </row>
    <row r="3648" spans="1:1" x14ac:dyDescent="0.25">
      <c r="A3648">
        <v>4.5</v>
      </c>
    </row>
    <row r="3649" spans="1:1" x14ac:dyDescent="0.25">
      <c r="A3649">
        <v>7.5</v>
      </c>
    </row>
    <row r="3650" spans="1:1" x14ac:dyDescent="0.25">
      <c r="A3650">
        <v>4.125</v>
      </c>
    </row>
    <row r="3651" spans="1:1" x14ac:dyDescent="0.25">
      <c r="A3651">
        <v>4.125</v>
      </c>
    </row>
    <row r="3652" spans="1:1" x14ac:dyDescent="0.25">
      <c r="A3652">
        <v>2.25</v>
      </c>
    </row>
    <row r="3653" spans="1:1" x14ac:dyDescent="0.25">
      <c r="A3653">
        <v>3.75</v>
      </c>
    </row>
    <row r="3654" spans="1:1" x14ac:dyDescent="0.25">
      <c r="A3654">
        <v>5</v>
      </c>
    </row>
    <row r="3655" spans="1:1" x14ac:dyDescent="0.25">
      <c r="A3655">
        <v>8.625</v>
      </c>
    </row>
    <row r="3656" spans="1:1" x14ac:dyDescent="0.25">
      <c r="A3656">
        <v>3.375</v>
      </c>
    </row>
    <row r="3657" spans="1:1" x14ac:dyDescent="0.25">
      <c r="A3657">
        <v>7.5</v>
      </c>
    </row>
    <row r="3658" spans="1:1" x14ac:dyDescent="0.25">
      <c r="A3658">
        <v>14.25</v>
      </c>
    </row>
    <row r="3659" spans="1:1" x14ac:dyDescent="0.25">
      <c r="A3659">
        <v>5</v>
      </c>
    </row>
    <row r="3660" spans="1:1" x14ac:dyDescent="0.25">
      <c r="A3660">
        <v>12.25</v>
      </c>
    </row>
    <row r="3661" spans="1:1" x14ac:dyDescent="0.25">
      <c r="A3661">
        <v>3</v>
      </c>
    </row>
    <row r="3662" spans="1:1" x14ac:dyDescent="0.25">
      <c r="A3662">
        <v>7.5</v>
      </c>
    </row>
    <row r="3663" spans="1:1" x14ac:dyDescent="0.25">
      <c r="A3663">
        <v>7.5</v>
      </c>
    </row>
    <row r="3664" spans="1:1" x14ac:dyDescent="0.25">
      <c r="A3664">
        <v>5.25</v>
      </c>
    </row>
    <row r="3665" spans="1:1" x14ac:dyDescent="0.25">
      <c r="A3665">
        <v>5.625</v>
      </c>
    </row>
    <row r="3666" spans="1:1" x14ac:dyDescent="0.25">
      <c r="A3666">
        <v>1.5</v>
      </c>
    </row>
    <row r="3667" spans="1:1" x14ac:dyDescent="0.25">
      <c r="A3667">
        <v>20.25</v>
      </c>
    </row>
    <row r="3668" spans="1:1" x14ac:dyDescent="0.25">
      <c r="A3668">
        <v>7.5</v>
      </c>
    </row>
    <row r="3669" spans="1:1" x14ac:dyDescent="0.25">
      <c r="A3669">
        <v>6.75</v>
      </c>
    </row>
    <row r="3670" spans="1:1" x14ac:dyDescent="0.25">
      <c r="A3670">
        <v>7.5</v>
      </c>
    </row>
    <row r="3671" spans="1:1" x14ac:dyDescent="0.25">
      <c r="A3671">
        <v>7.5</v>
      </c>
    </row>
    <row r="3672" spans="1:1" x14ac:dyDescent="0.25">
      <c r="A3672">
        <v>15</v>
      </c>
    </row>
    <row r="3673" spans="1:1" x14ac:dyDescent="0.25">
      <c r="A3673">
        <v>9.75</v>
      </c>
    </row>
    <row r="3674" spans="1:1" x14ac:dyDescent="0.25">
      <c r="A3674">
        <v>1.5</v>
      </c>
    </row>
    <row r="3675" spans="1:1" x14ac:dyDescent="0.25">
      <c r="A3675">
        <v>5.625</v>
      </c>
    </row>
    <row r="3676" spans="1:1" x14ac:dyDescent="0.25">
      <c r="A3676">
        <v>7.875</v>
      </c>
    </row>
    <row r="3677" spans="1:1" x14ac:dyDescent="0.25">
      <c r="A3677">
        <v>0.375</v>
      </c>
    </row>
    <row r="3678" spans="1:1" x14ac:dyDescent="0.25">
      <c r="A3678">
        <v>0.75</v>
      </c>
    </row>
    <row r="3679" spans="1:1" x14ac:dyDescent="0.25">
      <c r="A3679">
        <v>9.375</v>
      </c>
    </row>
    <row r="3680" spans="1:1" x14ac:dyDescent="0.25">
      <c r="A3680">
        <v>5</v>
      </c>
    </row>
    <row r="3681" spans="1:1" x14ac:dyDescent="0.25">
      <c r="A3681">
        <v>7.5</v>
      </c>
    </row>
    <row r="3682" spans="1:1" x14ac:dyDescent="0.25">
      <c r="A3682">
        <v>7.5</v>
      </c>
    </row>
    <row r="3683" spans="1:1" x14ac:dyDescent="0.25">
      <c r="A3683">
        <v>7.875</v>
      </c>
    </row>
    <row r="3684" spans="1:1" x14ac:dyDescent="0.25">
      <c r="A3684">
        <v>4.25</v>
      </c>
    </row>
    <row r="3685" spans="1:1" x14ac:dyDescent="0.25">
      <c r="A3685">
        <v>10.5</v>
      </c>
    </row>
    <row r="3686" spans="1:1" x14ac:dyDescent="0.25">
      <c r="A3686">
        <v>7.5</v>
      </c>
    </row>
    <row r="3687" spans="1:1" x14ac:dyDescent="0.25">
      <c r="A3687">
        <v>0.25</v>
      </c>
    </row>
    <row r="3688" spans="1:1" x14ac:dyDescent="0.25">
      <c r="A3688">
        <v>6</v>
      </c>
    </row>
    <row r="3689" spans="1:1" x14ac:dyDescent="0.25">
      <c r="A3689">
        <v>0.75</v>
      </c>
    </row>
    <row r="3690" spans="1:1" x14ac:dyDescent="0.25">
      <c r="A3690">
        <v>4.75</v>
      </c>
    </row>
    <row r="3691" spans="1:1" x14ac:dyDescent="0.25">
      <c r="A3691">
        <v>7.125</v>
      </c>
    </row>
    <row r="3692" spans="1:1" x14ac:dyDescent="0.25">
      <c r="A3692">
        <v>0.25</v>
      </c>
    </row>
    <row r="3693" spans="1:1" x14ac:dyDescent="0.25">
      <c r="A3693">
        <v>7.5</v>
      </c>
    </row>
    <row r="3694" spans="1:1" x14ac:dyDescent="0.25">
      <c r="A3694">
        <v>7.5</v>
      </c>
    </row>
    <row r="3695" spans="1:1" x14ac:dyDescent="0.25">
      <c r="A3695">
        <v>5.25</v>
      </c>
    </row>
    <row r="3696" spans="1:1" x14ac:dyDescent="0.25">
      <c r="A3696">
        <v>0.75</v>
      </c>
    </row>
    <row r="3697" spans="1:1" x14ac:dyDescent="0.25">
      <c r="A3697">
        <v>11.625</v>
      </c>
    </row>
    <row r="3698" spans="1:1" x14ac:dyDescent="0.25">
      <c r="A3698">
        <v>2.75</v>
      </c>
    </row>
    <row r="3699" spans="1:1" x14ac:dyDescent="0.25">
      <c r="A3699">
        <v>5</v>
      </c>
    </row>
    <row r="3700" spans="1:1" x14ac:dyDescent="0.25">
      <c r="A3700">
        <v>0.5</v>
      </c>
    </row>
    <row r="3701" spans="1:1" x14ac:dyDescent="0.25">
      <c r="A3701">
        <v>1.5</v>
      </c>
    </row>
    <row r="3702" spans="1:1" x14ac:dyDescent="0.25">
      <c r="A3702">
        <v>7</v>
      </c>
    </row>
    <row r="3703" spans="1:1" x14ac:dyDescent="0.25">
      <c r="A3703">
        <v>7.5</v>
      </c>
    </row>
    <row r="3704" spans="1:1" x14ac:dyDescent="0.25">
      <c r="A3704">
        <v>5</v>
      </c>
    </row>
    <row r="3705" spans="1:1" x14ac:dyDescent="0.25">
      <c r="A3705">
        <v>7.5</v>
      </c>
    </row>
    <row r="3706" spans="1:1" x14ac:dyDescent="0.25">
      <c r="A3706">
        <v>4.5</v>
      </c>
    </row>
    <row r="3707" spans="1:1" x14ac:dyDescent="0.25">
      <c r="A3707">
        <v>7.875</v>
      </c>
    </row>
    <row r="3708" spans="1:1" x14ac:dyDescent="0.25">
      <c r="A3708">
        <v>7.5</v>
      </c>
    </row>
    <row r="3709" spans="1:1" x14ac:dyDescent="0.25">
      <c r="A3709">
        <v>13.5</v>
      </c>
    </row>
    <row r="3710" spans="1:1" x14ac:dyDescent="0.25">
      <c r="A3710">
        <v>7.5</v>
      </c>
    </row>
    <row r="3711" spans="1:1" x14ac:dyDescent="0.25">
      <c r="A3711">
        <v>3.75</v>
      </c>
    </row>
    <row r="3712" spans="1:1" x14ac:dyDescent="0.25">
      <c r="A3712">
        <v>3.75</v>
      </c>
    </row>
    <row r="3713" spans="1:1" x14ac:dyDescent="0.25">
      <c r="A3713">
        <v>7.5</v>
      </c>
    </row>
    <row r="3714" spans="1:1" x14ac:dyDescent="0.25">
      <c r="A3714">
        <v>5</v>
      </c>
    </row>
    <row r="3715" spans="1:1" x14ac:dyDescent="0.25">
      <c r="A3715">
        <v>3.75</v>
      </c>
    </row>
    <row r="3716" spans="1:1" x14ac:dyDescent="0.25">
      <c r="A3716">
        <v>7.5</v>
      </c>
    </row>
    <row r="3717" spans="1:1" x14ac:dyDescent="0.25">
      <c r="A3717">
        <v>6</v>
      </c>
    </row>
    <row r="3718" spans="1:1" x14ac:dyDescent="0.25">
      <c r="A3718">
        <v>7.5</v>
      </c>
    </row>
    <row r="3719" spans="1:1" x14ac:dyDescent="0.25">
      <c r="A3719">
        <v>6.75</v>
      </c>
    </row>
    <row r="3720" spans="1:1" x14ac:dyDescent="0.25">
      <c r="A3720">
        <v>7.5</v>
      </c>
    </row>
    <row r="3721" spans="1:1" x14ac:dyDescent="0.25">
      <c r="A3721">
        <v>9.75</v>
      </c>
    </row>
    <row r="3722" spans="1:1" x14ac:dyDescent="0.25">
      <c r="A3722">
        <v>7.5</v>
      </c>
    </row>
    <row r="3723" spans="1:1" x14ac:dyDescent="0.25">
      <c r="A3723">
        <v>4.25</v>
      </c>
    </row>
    <row r="3724" spans="1:1" x14ac:dyDescent="0.25">
      <c r="A3724">
        <v>7.5</v>
      </c>
    </row>
    <row r="3725" spans="1:1" x14ac:dyDescent="0.25">
      <c r="A3725">
        <v>4.875</v>
      </c>
    </row>
    <row r="3726" spans="1:1" x14ac:dyDescent="0.25">
      <c r="A3726">
        <v>7.5</v>
      </c>
    </row>
    <row r="3727" spans="1:1" x14ac:dyDescent="0.25">
      <c r="A3727">
        <v>15.375</v>
      </c>
    </row>
    <row r="3728" spans="1:1" x14ac:dyDescent="0.25">
      <c r="A3728">
        <v>12</v>
      </c>
    </row>
    <row r="3729" spans="1:1" x14ac:dyDescent="0.25">
      <c r="A3729">
        <v>7.5</v>
      </c>
    </row>
    <row r="3730" spans="1:1" x14ac:dyDescent="0.25">
      <c r="A3730">
        <v>2.625</v>
      </c>
    </row>
    <row r="3731" spans="1:1" x14ac:dyDescent="0.25">
      <c r="A3731">
        <v>12.375</v>
      </c>
    </row>
    <row r="3732" spans="1:1" x14ac:dyDescent="0.25">
      <c r="A3732">
        <v>7.5</v>
      </c>
    </row>
    <row r="3733" spans="1:1" x14ac:dyDescent="0.25">
      <c r="A3733">
        <v>7.125</v>
      </c>
    </row>
    <row r="3734" spans="1:1" x14ac:dyDescent="0.25">
      <c r="A3734">
        <v>6.75</v>
      </c>
    </row>
    <row r="3735" spans="1:1" x14ac:dyDescent="0.25">
      <c r="A3735">
        <v>7.5</v>
      </c>
    </row>
    <row r="3736" spans="1:1" x14ac:dyDescent="0.25">
      <c r="A3736">
        <v>7.5</v>
      </c>
    </row>
    <row r="3737" spans="1:1" x14ac:dyDescent="0.25">
      <c r="A3737">
        <v>4</v>
      </c>
    </row>
    <row r="3738" spans="1:1" x14ac:dyDescent="0.25">
      <c r="A3738">
        <v>3</v>
      </c>
    </row>
    <row r="3739" spans="1:1" x14ac:dyDescent="0.25">
      <c r="A3739">
        <v>12</v>
      </c>
    </row>
    <row r="3740" spans="1:1" x14ac:dyDescent="0.25">
      <c r="A3740">
        <v>0.375</v>
      </c>
    </row>
    <row r="3741" spans="1:1" x14ac:dyDescent="0.25">
      <c r="A3741">
        <v>1.5</v>
      </c>
    </row>
    <row r="3742" spans="1:1" x14ac:dyDescent="0.25">
      <c r="A3742">
        <v>6</v>
      </c>
    </row>
    <row r="3743" spans="1:1" x14ac:dyDescent="0.25">
      <c r="A3743">
        <v>6.375</v>
      </c>
    </row>
    <row r="3744" spans="1:1" x14ac:dyDescent="0.25">
      <c r="A3744">
        <v>4</v>
      </c>
    </row>
    <row r="3745" spans="1:1" x14ac:dyDescent="0.25">
      <c r="A3745">
        <v>3.75</v>
      </c>
    </row>
    <row r="3746" spans="1:1" x14ac:dyDescent="0.25">
      <c r="A3746">
        <v>5</v>
      </c>
    </row>
    <row r="3747" spans="1:1" x14ac:dyDescent="0.25">
      <c r="A3747">
        <v>3</v>
      </c>
    </row>
    <row r="3748" spans="1:1" x14ac:dyDescent="0.25">
      <c r="A3748">
        <v>1.5</v>
      </c>
    </row>
    <row r="3749" spans="1:1" x14ac:dyDescent="0.25">
      <c r="A3749">
        <v>5</v>
      </c>
    </row>
    <row r="3750" spans="1:1" x14ac:dyDescent="0.25">
      <c r="A3750">
        <v>0.375</v>
      </c>
    </row>
    <row r="3751" spans="1:1" x14ac:dyDescent="0.25">
      <c r="A3751">
        <v>0.75</v>
      </c>
    </row>
    <row r="3752" spans="1:1" x14ac:dyDescent="0.25">
      <c r="A3752">
        <v>7.875</v>
      </c>
    </row>
    <row r="3753" spans="1:1" x14ac:dyDescent="0.25">
      <c r="A3753">
        <v>3.75</v>
      </c>
    </row>
    <row r="3754" spans="1:1" x14ac:dyDescent="0.25">
      <c r="A3754">
        <v>7.5</v>
      </c>
    </row>
    <row r="3755" spans="1:1" x14ac:dyDescent="0.25">
      <c r="A3755">
        <v>7.5</v>
      </c>
    </row>
    <row r="3756" spans="1:1" x14ac:dyDescent="0.25">
      <c r="A3756">
        <v>7.125</v>
      </c>
    </row>
    <row r="3757" spans="1:1" x14ac:dyDescent="0.25">
      <c r="A3757">
        <v>6.75</v>
      </c>
    </row>
    <row r="3758" spans="1:1" x14ac:dyDescent="0.25">
      <c r="A3758">
        <v>3.25</v>
      </c>
    </row>
    <row r="3759" spans="1:1" x14ac:dyDescent="0.25">
      <c r="A3759">
        <v>5</v>
      </c>
    </row>
    <row r="3760" spans="1:1" x14ac:dyDescent="0.25">
      <c r="A3760">
        <v>1.5</v>
      </c>
    </row>
    <row r="3761" spans="1:1" x14ac:dyDescent="0.25">
      <c r="A3761">
        <v>7.5</v>
      </c>
    </row>
    <row r="3762" spans="1:1" x14ac:dyDescent="0.25">
      <c r="A3762">
        <v>5</v>
      </c>
    </row>
    <row r="3763" spans="1:1" x14ac:dyDescent="0.25">
      <c r="A3763">
        <v>2.5</v>
      </c>
    </row>
    <row r="3764" spans="1:1" x14ac:dyDescent="0.25">
      <c r="A3764">
        <v>7.5</v>
      </c>
    </row>
    <row r="3765" spans="1:1" x14ac:dyDescent="0.25">
      <c r="A3765">
        <v>7.5</v>
      </c>
    </row>
    <row r="3766" spans="1:1" x14ac:dyDescent="0.25">
      <c r="A3766">
        <v>7.5</v>
      </c>
    </row>
    <row r="3767" spans="1:1" x14ac:dyDescent="0.25">
      <c r="A3767">
        <v>7.5</v>
      </c>
    </row>
    <row r="3768" spans="1:1" x14ac:dyDescent="0.25">
      <c r="A3768">
        <v>7.5</v>
      </c>
    </row>
    <row r="3769" spans="1:1" x14ac:dyDescent="0.25">
      <c r="A3769">
        <v>7.875</v>
      </c>
    </row>
    <row r="3770" spans="1:1" x14ac:dyDescent="0.25">
      <c r="A3770">
        <v>3.375</v>
      </c>
    </row>
    <row r="3771" spans="1:1" x14ac:dyDescent="0.25">
      <c r="A3771">
        <v>12</v>
      </c>
    </row>
    <row r="3772" spans="1:1" x14ac:dyDescent="0.25">
      <c r="A3772">
        <v>5</v>
      </c>
    </row>
    <row r="3773" spans="1:1" x14ac:dyDescent="0.25">
      <c r="A3773">
        <v>1.125</v>
      </c>
    </row>
    <row r="3774" spans="1:1" x14ac:dyDescent="0.25">
      <c r="A3774">
        <v>2.75</v>
      </c>
    </row>
    <row r="3775" spans="1:1" x14ac:dyDescent="0.25">
      <c r="A3775">
        <v>3.75</v>
      </c>
    </row>
    <row r="3776" spans="1:1" x14ac:dyDescent="0.25">
      <c r="A3776">
        <v>6</v>
      </c>
    </row>
    <row r="3777" spans="1:1" x14ac:dyDescent="0.25">
      <c r="A3777">
        <v>14.625</v>
      </c>
    </row>
    <row r="3778" spans="1:1" x14ac:dyDescent="0.25">
      <c r="A3778">
        <v>7.5</v>
      </c>
    </row>
    <row r="3779" spans="1:1" x14ac:dyDescent="0.25">
      <c r="A3779">
        <v>6.75</v>
      </c>
    </row>
    <row r="3780" spans="1:1" x14ac:dyDescent="0.25">
      <c r="A3780">
        <v>6.375</v>
      </c>
    </row>
    <row r="3781" spans="1:1" x14ac:dyDescent="0.25">
      <c r="A3781">
        <v>7.5</v>
      </c>
    </row>
    <row r="3782" spans="1:1" x14ac:dyDescent="0.25">
      <c r="A3782">
        <v>7.5</v>
      </c>
    </row>
    <row r="3783" spans="1:1" x14ac:dyDescent="0.25">
      <c r="A3783">
        <v>7.5</v>
      </c>
    </row>
    <row r="3784" spans="1:1" x14ac:dyDescent="0.25">
      <c r="A3784">
        <v>6.375</v>
      </c>
    </row>
    <row r="3785" spans="1:1" x14ac:dyDescent="0.25">
      <c r="A3785">
        <v>3.75</v>
      </c>
    </row>
    <row r="3786" spans="1:1" x14ac:dyDescent="0.25">
      <c r="A3786">
        <v>1.5</v>
      </c>
    </row>
    <row r="3787" spans="1:1" x14ac:dyDescent="0.25">
      <c r="A3787">
        <v>4</v>
      </c>
    </row>
    <row r="3788" spans="1:1" x14ac:dyDescent="0.25">
      <c r="A3788">
        <v>7.5</v>
      </c>
    </row>
    <row r="3789" spans="1:1" x14ac:dyDescent="0.25">
      <c r="A3789">
        <v>4.5</v>
      </c>
    </row>
    <row r="3790" spans="1:1" x14ac:dyDescent="0.25">
      <c r="A3790">
        <v>1.5</v>
      </c>
    </row>
    <row r="3791" spans="1:1" x14ac:dyDescent="0.25">
      <c r="A3791">
        <v>7.5</v>
      </c>
    </row>
    <row r="3792" spans="1:1" x14ac:dyDescent="0.25">
      <c r="A3792">
        <v>7.5</v>
      </c>
    </row>
    <row r="3793" spans="1:1" x14ac:dyDescent="0.25">
      <c r="A3793">
        <v>18</v>
      </c>
    </row>
    <row r="3794" spans="1:1" x14ac:dyDescent="0.25">
      <c r="A3794">
        <v>7.5</v>
      </c>
    </row>
    <row r="3795" spans="1:1" x14ac:dyDescent="0.25">
      <c r="A3795">
        <v>5.5</v>
      </c>
    </row>
    <row r="3796" spans="1:1" x14ac:dyDescent="0.25">
      <c r="A3796">
        <v>5.625</v>
      </c>
    </row>
    <row r="3797" spans="1:1" x14ac:dyDescent="0.25">
      <c r="A3797">
        <v>7.5</v>
      </c>
    </row>
    <row r="3798" spans="1:1" x14ac:dyDescent="0.25">
      <c r="A3798">
        <v>5</v>
      </c>
    </row>
    <row r="3799" spans="1:1" x14ac:dyDescent="0.25">
      <c r="A3799">
        <v>7.5</v>
      </c>
    </row>
    <row r="3800" spans="1:1" x14ac:dyDescent="0.25">
      <c r="A3800">
        <v>12</v>
      </c>
    </row>
    <row r="3801" spans="1:1" x14ac:dyDescent="0.25">
      <c r="A3801">
        <v>7.5</v>
      </c>
    </row>
    <row r="3802" spans="1:1" x14ac:dyDescent="0.25">
      <c r="A3802">
        <v>8.625</v>
      </c>
    </row>
    <row r="3803" spans="1:1" x14ac:dyDescent="0.25">
      <c r="A3803">
        <v>12</v>
      </c>
    </row>
    <row r="3804" spans="1:1" x14ac:dyDescent="0.25">
      <c r="A3804">
        <v>7.125</v>
      </c>
    </row>
    <row r="3805" spans="1:1" x14ac:dyDescent="0.25">
      <c r="A3805">
        <v>7.5</v>
      </c>
    </row>
    <row r="3806" spans="1:1" x14ac:dyDescent="0.25">
      <c r="A3806">
        <v>0.25</v>
      </c>
    </row>
    <row r="3807" spans="1:1" x14ac:dyDescent="0.25">
      <c r="A3807">
        <v>5</v>
      </c>
    </row>
    <row r="3808" spans="1:1" x14ac:dyDescent="0.25">
      <c r="A3808">
        <v>7.5</v>
      </c>
    </row>
    <row r="3809" spans="1:1" x14ac:dyDescent="0.25">
      <c r="A3809">
        <v>7.5</v>
      </c>
    </row>
    <row r="3810" spans="1:1" x14ac:dyDescent="0.25">
      <c r="A3810">
        <v>5.25</v>
      </c>
    </row>
    <row r="3811" spans="1:1" x14ac:dyDescent="0.25">
      <c r="A3811">
        <v>6</v>
      </c>
    </row>
    <row r="3812" spans="1:1" x14ac:dyDescent="0.25">
      <c r="A3812">
        <v>7.5</v>
      </c>
    </row>
    <row r="3813" spans="1:1" x14ac:dyDescent="0.25">
      <c r="A3813">
        <v>10.875</v>
      </c>
    </row>
    <row r="3814" spans="1:1" x14ac:dyDescent="0.25">
      <c r="A3814">
        <v>12</v>
      </c>
    </row>
    <row r="3815" spans="1:1" x14ac:dyDescent="0.25">
      <c r="A3815">
        <v>7.5</v>
      </c>
    </row>
    <row r="3816" spans="1:1" x14ac:dyDescent="0.25">
      <c r="A3816">
        <v>1.5</v>
      </c>
    </row>
    <row r="3817" spans="1:1" x14ac:dyDescent="0.25">
      <c r="A3817">
        <v>7.875</v>
      </c>
    </row>
    <row r="3818" spans="1:1" x14ac:dyDescent="0.25">
      <c r="A3818">
        <v>0.75</v>
      </c>
    </row>
    <row r="3819" spans="1:1" x14ac:dyDescent="0.25">
      <c r="A3819">
        <v>9.375</v>
      </c>
    </row>
    <row r="3820" spans="1:1" x14ac:dyDescent="0.25">
      <c r="A3820">
        <v>1.125</v>
      </c>
    </row>
    <row r="3821" spans="1:1" x14ac:dyDescent="0.25">
      <c r="A3821">
        <v>7.5</v>
      </c>
    </row>
    <row r="3822" spans="1:1" x14ac:dyDescent="0.25">
      <c r="A3822">
        <v>4</v>
      </c>
    </row>
    <row r="3823" spans="1:1" x14ac:dyDescent="0.25">
      <c r="A3823">
        <v>4</v>
      </c>
    </row>
    <row r="3824" spans="1:1" x14ac:dyDescent="0.25">
      <c r="A3824">
        <v>7.5</v>
      </c>
    </row>
    <row r="3825" spans="1:1" x14ac:dyDescent="0.25">
      <c r="A3825">
        <v>7.5</v>
      </c>
    </row>
    <row r="3826" spans="1:1" x14ac:dyDescent="0.25">
      <c r="A3826">
        <v>1.875</v>
      </c>
    </row>
    <row r="3827" spans="1:1" x14ac:dyDescent="0.25">
      <c r="A3827">
        <v>7.5</v>
      </c>
    </row>
    <row r="3828" spans="1:1" x14ac:dyDescent="0.25">
      <c r="A3828">
        <v>7.5</v>
      </c>
    </row>
    <row r="3829" spans="1:1" x14ac:dyDescent="0.25">
      <c r="A3829">
        <v>1.5</v>
      </c>
    </row>
    <row r="3830" spans="1:1" x14ac:dyDescent="0.25">
      <c r="A3830">
        <v>7.5</v>
      </c>
    </row>
    <row r="3831" spans="1:1" x14ac:dyDescent="0.25">
      <c r="A3831">
        <v>0.75</v>
      </c>
    </row>
    <row r="3832" spans="1:1" x14ac:dyDescent="0.25">
      <c r="A3832">
        <v>7.5</v>
      </c>
    </row>
    <row r="3833" spans="1:1" x14ac:dyDescent="0.25">
      <c r="A3833">
        <v>13.125</v>
      </c>
    </row>
    <row r="3834" spans="1:1" x14ac:dyDescent="0.25">
      <c r="A3834">
        <v>10.5</v>
      </c>
    </row>
    <row r="3835" spans="1:1" x14ac:dyDescent="0.25">
      <c r="A3835">
        <v>7.5</v>
      </c>
    </row>
    <row r="3836" spans="1:1" x14ac:dyDescent="0.25">
      <c r="A3836">
        <v>2.25</v>
      </c>
    </row>
    <row r="3837" spans="1:1" x14ac:dyDescent="0.25">
      <c r="A3837">
        <v>7.5</v>
      </c>
    </row>
    <row r="3838" spans="1:1" x14ac:dyDescent="0.25">
      <c r="A3838">
        <v>7.5</v>
      </c>
    </row>
    <row r="3839" spans="1:1" x14ac:dyDescent="0.25">
      <c r="A3839">
        <v>7.5</v>
      </c>
    </row>
    <row r="3840" spans="1:1" x14ac:dyDescent="0.25">
      <c r="A3840">
        <v>7.5</v>
      </c>
    </row>
    <row r="3841" spans="1:1" x14ac:dyDescent="0.25">
      <c r="A3841">
        <v>5.625</v>
      </c>
    </row>
    <row r="3842" spans="1:1" x14ac:dyDescent="0.25">
      <c r="A3842">
        <v>2.25</v>
      </c>
    </row>
    <row r="3843" spans="1:1" x14ac:dyDescent="0.25">
      <c r="A3843">
        <v>6.75</v>
      </c>
    </row>
    <row r="3844" spans="1:1" x14ac:dyDescent="0.25">
      <c r="A3844">
        <v>6</v>
      </c>
    </row>
    <row r="3845" spans="1:1" x14ac:dyDescent="0.25">
      <c r="A3845">
        <v>12</v>
      </c>
    </row>
    <row r="3846" spans="1:1" x14ac:dyDescent="0.25">
      <c r="A3846">
        <v>0.75</v>
      </c>
    </row>
    <row r="3847" spans="1:1" x14ac:dyDescent="0.25">
      <c r="A3847">
        <v>7.5</v>
      </c>
    </row>
    <row r="3848" spans="1:1" x14ac:dyDescent="0.25">
      <c r="A3848">
        <v>8.625</v>
      </c>
    </row>
    <row r="3849" spans="1:1" x14ac:dyDescent="0.25">
      <c r="A3849">
        <v>1.5</v>
      </c>
    </row>
    <row r="3850" spans="1:1" x14ac:dyDescent="0.25">
      <c r="A3850">
        <v>3.75</v>
      </c>
    </row>
    <row r="3851" spans="1:1" x14ac:dyDescent="0.25">
      <c r="A3851">
        <v>0.75</v>
      </c>
    </row>
    <row r="3852" spans="1:1" x14ac:dyDescent="0.25">
      <c r="A3852">
        <v>12</v>
      </c>
    </row>
    <row r="3853" spans="1:1" x14ac:dyDescent="0.25">
      <c r="A3853">
        <v>12</v>
      </c>
    </row>
    <row r="3854" spans="1:1" x14ac:dyDescent="0.25">
      <c r="A3854">
        <v>1.5</v>
      </c>
    </row>
    <row r="3855" spans="1:1" x14ac:dyDescent="0.25">
      <c r="A3855">
        <v>8.625</v>
      </c>
    </row>
    <row r="3856" spans="1:1" x14ac:dyDescent="0.25">
      <c r="A3856">
        <v>11.25</v>
      </c>
    </row>
    <row r="3857" spans="1:1" x14ac:dyDescent="0.25">
      <c r="A3857">
        <v>6</v>
      </c>
    </row>
    <row r="3858" spans="1:1" x14ac:dyDescent="0.25">
      <c r="A3858">
        <v>0.25</v>
      </c>
    </row>
    <row r="3859" spans="1:1" x14ac:dyDescent="0.25">
      <c r="A3859">
        <v>7.5</v>
      </c>
    </row>
    <row r="3860" spans="1:1" x14ac:dyDescent="0.25">
      <c r="A3860">
        <v>8.25</v>
      </c>
    </row>
    <row r="3861" spans="1:1" x14ac:dyDescent="0.25">
      <c r="A3861">
        <v>7.125</v>
      </c>
    </row>
    <row r="3862" spans="1:1" x14ac:dyDescent="0.25">
      <c r="A3862">
        <v>7.5</v>
      </c>
    </row>
    <row r="3863" spans="1:1" x14ac:dyDescent="0.25">
      <c r="A3863">
        <v>12</v>
      </c>
    </row>
    <row r="3864" spans="1:1" x14ac:dyDescent="0.25">
      <c r="A3864">
        <v>2.25</v>
      </c>
    </row>
    <row r="3865" spans="1:1" x14ac:dyDescent="0.25">
      <c r="A3865">
        <v>18</v>
      </c>
    </row>
    <row r="3866" spans="1:1" x14ac:dyDescent="0.25">
      <c r="A3866">
        <v>5</v>
      </c>
    </row>
    <row r="3867" spans="1:1" x14ac:dyDescent="0.25">
      <c r="A3867">
        <v>5</v>
      </c>
    </row>
    <row r="3868" spans="1:1" x14ac:dyDescent="0.25">
      <c r="A3868">
        <v>10</v>
      </c>
    </row>
    <row r="3869" spans="1:1" x14ac:dyDescent="0.25">
      <c r="A3869">
        <v>2.25</v>
      </c>
    </row>
    <row r="3870" spans="1:1" x14ac:dyDescent="0.25">
      <c r="A3870">
        <v>5</v>
      </c>
    </row>
    <row r="3871" spans="1:1" x14ac:dyDescent="0.25">
      <c r="A3871">
        <v>5</v>
      </c>
    </row>
    <row r="3872" spans="1:1" x14ac:dyDescent="0.25">
      <c r="A3872">
        <v>4.25</v>
      </c>
    </row>
    <row r="3873" spans="1:1" x14ac:dyDescent="0.25">
      <c r="A3873">
        <v>5</v>
      </c>
    </row>
    <row r="3874" spans="1:1" x14ac:dyDescent="0.25">
      <c r="A3874">
        <v>5</v>
      </c>
    </row>
    <row r="3875" spans="1:1" x14ac:dyDescent="0.25">
      <c r="A3875">
        <v>3.25</v>
      </c>
    </row>
    <row r="3876" spans="1:1" x14ac:dyDescent="0.25">
      <c r="A3876">
        <v>4.125</v>
      </c>
    </row>
    <row r="3877" spans="1:1" x14ac:dyDescent="0.25">
      <c r="A3877">
        <v>5</v>
      </c>
    </row>
    <row r="3878" spans="1:1" x14ac:dyDescent="0.25">
      <c r="A3878">
        <v>4.5</v>
      </c>
    </row>
    <row r="3879" spans="1:1" x14ac:dyDescent="0.25">
      <c r="A3879">
        <v>5.25</v>
      </c>
    </row>
    <row r="3880" spans="1:1" x14ac:dyDescent="0.25">
      <c r="A3880">
        <v>5</v>
      </c>
    </row>
    <row r="3881" spans="1:1" x14ac:dyDescent="0.25">
      <c r="A3881">
        <v>5</v>
      </c>
    </row>
    <row r="3882" spans="1:1" x14ac:dyDescent="0.25">
      <c r="A3882">
        <v>5.25</v>
      </c>
    </row>
    <row r="3883" spans="1:1" x14ac:dyDescent="0.25">
      <c r="A3883">
        <v>10</v>
      </c>
    </row>
    <row r="3884" spans="1:1" x14ac:dyDescent="0.25">
      <c r="A3884">
        <v>2.5</v>
      </c>
    </row>
    <row r="3885" spans="1:1" x14ac:dyDescent="0.25">
      <c r="A3885">
        <v>5</v>
      </c>
    </row>
    <row r="3886" spans="1:1" x14ac:dyDescent="0.25">
      <c r="A3886">
        <v>5</v>
      </c>
    </row>
    <row r="3887" spans="1:1" x14ac:dyDescent="0.25">
      <c r="A3887">
        <v>4</v>
      </c>
    </row>
    <row r="3888" spans="1:1" x14ac:dyDescent="0.25">
      <c r="A3888">
        <v>2.5</v>
      </c>
    </row>
    <row r="3889" spans="1:1" x14ac:dyDescent="0.25">
      <c r="A3889">
        <v>5</v>
      </c>
    </row>
    <row r="3890" spans="1:1" x14ac:dyDescent="0.25">
      <c r="A3890">
        <v>1.5</v>
      </c>
    </row>
    <row r="3891" spans="1:1" x14ac:dyDescent="0.25">
      <c r="A3891">
        <v>5</v>
      </c>
    </row>
    <row r="3892" spans="1:1" x14ac:dyDescent="0.25">
      <c r="A3892">
        <v>9</v>
      </c>
    </row>
    <row r="3893" spans="1:1" x14ac:dyDescent="0.25">
      <c r="A3893">
        <v>4</v>
      </c>
    </row>
    <row r="3894" spans="1:1" x14ac:dyDescent="0.25">
      <c r="A3894">
        <v>4</v>
      </c>
    </row>
    <row r="3895" spans="1:1" x14ac:dyDescent="0.25">
      <c r="A3895">
        <v>10</v>
      </c>
    </row>
    <row r="3896" spans="1:1" x14ac:dyDescent="0.25">
      <c r="A3896">
        <v>5</v>
      </c>
    </row>
    <row r="3897" spans="1:1" x14ac:dyDescent="0.25">
      <c r="A3897">
        <v>5</v>
      </c>
    </row>
    <row r="3898" spans="1:1" x14ac:dyDescent="0.25">
      <c r="A3898">
        <v>5</v>
      </c>
    </row>
    <row r="3899" spans="1:1" x14ac:dyDescent="0.25">
      <c r="A3899">
        <v>5</v>
      </c>
    </row>
    <row r="3900" spans="1:1" x14ac:dyDescent="0.25">
      <c r="A3900">
        <v>4.25</v>
      </c>
    </row>
    <row r="3901" spans="1:1" x14ac:dyDescent="0.25">
      <c r="A3901">
        <v>2.5</v>
      </c>
    </row>
    <row r="3902" spans="1:1" x14ac:dyDescent="0.25">
      <c r="A3902">
        <v>5</v>
      </c>
    </row>
    <row r="3903" spans="1:1" x14ac:dyDescent="0.25">
      <c r="A3903">
        <v>5</v>
      </c>
    </row>
    <row r="3904" spans="1:1" x14ac:dyDescent="0.25">
      <c r="A3904">
        <v>5</v>
      </c>
    </row>
    <row r="3905" spans="1:1" x14ac:dyDescent="0.25">
      <c r="A3905">
        <v>5</v>
      </c>
    </row>
    <row r="3906" spans="1:1" x14ac:dyDescent="0.25">
      <c r="A3906">
        <v>3.25</v>
      </c>
    </row>
    <row r="3907" spans="1:1" x14ac:dyDescent="0.25">
      <c r="A3907">
        <v>5</v>
      </c>
    </row>
    <row r="3908" spans="1:1" x14ac:dyDescent="0.25">
      <c r="A3908">
        <v>5.25</v>
      </c>
    </row>
    <row r="3909" spans="1:1" x14ac:dyDescent="0.25">
      <c r="A3909">
        <v>1.25</v>
      </c>
    </row>
    <row r="3910" spans="1:1" x14ac:dyDescent="0.25">
      <c r="A3910">
        <v>5</v>
      </c>
    </row>
    <row r="3911" spans="1:1" x14ac:dyDescent="0.25">
      <c r="A3911">
        <v>5</v>
      </c>
    </row>
    <row r="3912" spans="1:1" x14ac:dyDescent="0.25">
      <c r="A3912">
        <v>5</v>
      </c>
    </row>
    <row r="3913" spans="1:1" x14ac:dyDescent="0.25">
      <c r="A3913">
        <v>5</v>
      </c>
    </row>
    <row r="3914" spans="1:1" x14ac:dyDescent="0.25">
      <c r="A3914">
        <v>5</v>
      </c>
    </row>
    <row r="3915" spans="1:1" x14ac:dyDescent="0.25">
      <c r="A3915">
        <v>2</v>
      </c>
    </row>
    <row r="3916" spans="1:1" x14ac:dyDescent="0.25">
      <c r="A3916">
        <v>5</v>
      </c>
    </row>
    <row r="3917" spans="1:1" x14ac:dyDescent="0.25">
      <c r="A3917">
        <v>5</v>
      </c>
    </row>
    <row r="3918" spans="1:1" x14ac:dyDescent="0.25">
      <c r="A3918">
        <v>5</v>
      </c>
    </row>
    <row r="3919" spans="1:1" x14ac:dyDescent="0.25">
      <c r="A3919">
        <v>10</v>
      </c>
    </row>
    <row r="3920" spans="1:1" x14ac:dyDescent="0.25">
      <c r="A3920">
        <v>5</v>
      </c>
    </row>
    <row r="3921" spans="1:1" x14ac:dyDescent="0.25">
      <c r="A3921">
        <v>5</v>
      </c>
    </row>
    <row r="3922" spans="1:1" x14ac:dyDescent="0.25">
      <c r="A3922">
        <v>5</v>
      </c>
    </row>
    <row r="3923" spans="1:1" x14ac:dyDescent="0.25">
      <c r="A3923">
        <v>5.25</v>
      </c>
    </row>
    <row r="3924" spans="1:1" x14ac:dyDescent="0.25">
      <c r="A3924">
        <v>3</v>
      </c>
    </row>
    <row r="3925" spans="1:1" x14ac:dyDescent="0.25">
      <c r="A3925">
        <v>5</v>
      </c>
    </row>
    <row r="3926" spans="1:1" x14ac:dyDescent="0.25">
      <c r="A3926">
        <v>5</v>
      </c>
    </row>
    <row r="3927" spans="1:1" x14ac:dyDescent="0.25">
      <c r="A3927">
        <v>5</v>
      </c>
    </row>
    <row r="3928" spans="1:1" x14ac:dyDescent="0.25">
      <c r="A3928">
        <v>4.5</v>
      </c>
    </row>
    <row r="3929" spans="1:1" x14ac:dyDescent="0.25">
      <c r="A3929">
        <v>5</v>
      </c>
    </row>
    <row r="3930" spans="1:1" x14ac:dyDescent="0.25">
      <c r="A3930">
        <v>3</v>
      </c>
    </row>
    <row r="3931" spans="1:1" x14ac:dyDescent="0.25">
      <c r="A3931">
        <v>5</v>
      </c>
    </row>
    <row r="3932" spans="1:1" x14ac:dyDescent="0.25">
      <c r="A3932">
        <v>5</v>
      </c>
    </row>
    <row r="3933" spans="1:1" x14ac:dyDescent="0.25">
      <c r="A3933">
        <v>5</v>
      </c>
    </row>
    <row r="3934" spans="1:1" x14ac:dyDescent="0.25">
      <c r="A3934">
        <v>5</v>
      </c>
    </row>
    <row r="3935" spans="1:1" x14ac:dyDescent="0.25">
      <c r="A3935">
        <v>5.5</v>
      </c>
    </row>
    <row r="3936" spans="1:1" x14ac:dyDescent="0.25">
      <c r="A3936">
        <v>5</v>
      </c>
    </row>
    <row r="3937" spans="1:1" x14ac:dyDescent="0.25">
      <c r="A3937">
        <v>5</v>
      </c>
    </row>
    <row r="3938" spans="1:1" x14ac:dyDescent="0.25">
      <c r="A3938">
        <v>5</v>
      </c>
    </row>
    <row r="3939" spans="1:1" x14ac:dyDescent="0.25">
      <c r="A3939">
        <v>5</v>
      </c>
    </row>
    <row r="3940" spans="1:1" x14ac:dyDescent="0.25">
      <c r="A3940">
        <v>3</v>
      </c>
    </row>
    <row r="3941" spans="1:1" x14ac:dyDescent="0.25">
      <c r="A3941">
        <v>5</v>
      </c>
    </row>
    <row r="3942" spans="1:1" x14ac:dyDescent="0.25">
      <c r="A3942">
        <v>5</v>
      </c>
    </row>
    <row r="3943" spans="1:1" x14ac:dyDescent="0.25">
      <c r="A3943">
        <v>1</v>
      </c>
    </row>
    <row r="3944" spans="1:1" x14ac:dyDescent="0.25">
      <c r="A3944">
        <v>1</v>
      </c>
    </row>
    <row r="3945" spans="1:1" x14ac:dyDescent="0.25">
      <c r="A3945">
        <v>5</v>
      </c>
    </row>
    <row r="3946" spans="1:1" x14ac:dyDescent="0.25">
      <c r="A3946">
        <v>5</v>
      </c>
    </row>
    <row r="3947" spans="1:1" x14ac:dyDescent="0.25">
      <c r="A3947">
        <v>4</v>
      </c>
    </row>
    <row r="3948" spans="1:1" x14ac:dyDescent="0.25">
      <c r="A3948">
        <v>1</v>
      </c>
    </row>
    <row r="3949" spans="1:1" x14ac:dyDescent="0.25">
      <c r="A3949">
        <v>5</v>
      </c>
    </row>
    <row r="3950" spans="1:1" x14ac:dyDescent="0.25">
      <c r="A3950">
        <v>6.25</v>
      </c>
    </row>
    <row r="3951" spans="1:1" x14ac:dyDescent="0.25">
      <c r="A3951">
        <v>1</v>
      </c>
    </row>
    <row r="3952" spans="1:1" x14ac:dyDescent="0.25">
      <c r="A3952">
        <v>1</v>
      </c>
    </row>
    <row r="3953" spans="1:1" x14ac:dyDescent="0.25">
      <c r="A3953">
        <v>2</v>
      </c>
    </row>
    <row r="3954" spans="1:1" x14ac:dyDescent="0.25">
      <c r="A3954">
        <v>5</v>
      </c>
    </row>
    <row r="3955" spans="1:1" x14ac:dyDescent="0.25">
      <c r="A3955">
        <v>5</v>
      </c>
    </row>
    <row r="3956" spans="1:1" x14ac:dyDescent="0.25">
      <c r="A3956">
        <v>5</v>
      </c>
    </row>
    <row r="3957" spans="1:1" x14ac:dyDescent="0.25">
      <c r="A3957">
        <v>5.25</v>
      </c>
    </row>
    <row r="3958" spans="1:1" x14ac:dyDescent="0.25">
      <c r="A3958">
        <v>5</v>
      </c>
    </row>
    <row r="3959" spans="1:1" x14ac:dyDescent="0.25">
      <c r="A3959">
        <v>8.5</v>
      </c>
    </row>
    <row r="3960" spans="1:1" x14ac:dyDescent="0.25">
      <c r="A3960">
        <v>5</v>
      </c>
    </row>
    <row r="3961" spans="1:1" x14ac:dyDescent="0.25">
      <c r="A3961">
        <v>5</v>
      </c>
    </row>
    <row r="3962" spans="1:1" x14ac:dyDescent="0.25">
      <c r="A3962">
        <v>5</v>
      </c>
    </row>
    <row r="3963" spans="1:1" x14ac:dyDescent="0.25">
      <c r="A3963">
        <v>5.25</v>
      </c>
    </row>
    <row r="3964" spans="1:1" x14ac:dyDescent="0.25">
      <c r="A3964">
        <v>6</v>
      </c>
    </row>
    <row r="3965" spans="1:1" x14ac:dyDescent="0.25">
      <c r="A3965">
        <v>4.75</v>
      </c>
    </row>
    <row r="3966" spans="1:1" x14ac:dyDescent="0.25">
      <c r="A3966">
        <v>5</v>
      </c>
    </row>
    <row r="3967" spans="1:1" x14ac:dyDescent="0.25">
      <c r="A3967">
        <v>5</v>
      </c>
    </row>
    <row r="3968" spans="1:1" x14ac:dyDescent="0.25">
      <c r="A3968">
        <v>5</v>
      </c>
    </row>
    <row r="3969" spans="1:1" x14ac:dyDescent="0.25">
      <c r="A3969">
        <v>3</v>
      </c>
    </row>
    <row r="3970" spans="1:1" x14ac:dyDescent="0.25">
      <c r="A3970">
        <v>2</v>
      </c>
    </row>
    <row r="3971" spans="1:1" x14ac:dyDescent="0.25">
      <c r="A3971">
        <v>8.25</v>
      </c>
    </row>
    <row r="3972" spans="1:1" x14ac:dyDescent="0.25">
      <c r="A3972">
        <v>5</v>
      </c>
    </row>
    <row r="3973" spans="1:1" x14ac:dyDescent="0.25">
      <c r="A3973">
        <v>7.25</v>
      </c>
    </row>
    <row r="3974" spans="1:1" x14ac:dyDescent="0.25">
      <c r="A3974">
        <v>0.75</v>
      </c>
    </row>
    <row r="3975" spans="1:1" x14ac:dyDescent="0.25">
      <c r="A3975">
        <v>5</v>
      </c>
    </row>
    <row r="3976" spans="1:1" x14ac:dyDescent="0.25">
      <c r="A3976">
        <v>2.5</v>
      </c>
    </row>
    <row r="3977" spans="1:1" x14ac:dyDescent="0.25">
      <c r="A3977">
        <v>5</v>
      </c>
    </row>
    <row r="3978" spans="1:1" x14ac:dyDescent="0.25">
      <c r="A3978">
        <v>2</v>
      </c>
    </row>
    <row r="3979" spans="1:1" x14ac:dyDescent="0.25">
      <c r="A3979">
        <v>5</v>
      </c>
    </row>
    <row r="3980" spans="1:1" x14ac:dyDescent="0.25">
      <c r="A3980">
        <v>1</v>
      </c>
    </row>
    <row r="3981" spans="1:1" x14ac:dyDescent="0.25">
      <c r="A3981">
        <v>5</v>
      </c>
    </row>
    <row r="3982" spans="1:1" x14ac:dyDescent="0.25">
      <c r="A3982">
        <v>5</v>
      </c>
    </row>
    <row r="3983" spans="1:1" x14ac:dyDescent="0.25">
      <c r="A3983">
        <v>10</v>
      </c>
    </row>
    <row r="3984" spans="1:1" x14ac:dyDescent="0.25">
      <c r="A3984">
        <v>5</v>
      </c>
    </row>
    <row r="3985" spans="1:1" x14ac:dyDescent="0.25">
      <c r="A3985">
        <v>4.25</v>
      </c>
    </row>
    <row r="3986" spans="1:1" x14ac:dyDescent="0.25">
      <c r="A3986">
        <v>6</v>
      </c>
    </row>
    <row r="3987" spans="1:1" x14ac:dyDescent="0.25">
      <c r="A3987">
        <v>3.5</v>
      </c>
    </row>
    <row r="3988" spans="1:1" x14ac:dyDescent="0.25">
      <c r="A3988">
        <v>5.5</v>
      </c>
    </row>
    <row r="3989" spans="1:1" x14ac:dyDescent="0.25">
      <c r="A3989">
        <v>10</v>
      </c>
    </row>
    <row r="3990" spans="1:1" x14ac:dyDescent="0.25">
      <c r="A3990">
        <v>3</v>
      </c>
    </row>
    <row r="3991" spans="1:1" x14ac:dyDescent="0.25">
      <c r="A3991">
        <v>4.5</v>
      </c>
    </row>
    <row r="3992" spans="1:1" x14ac:dyDescent="0.25">
      <c r="A3992">
        <v>2</v>
      </c>
    </row>
    <row r="3993" spans="1:1" x14ac:dyDescent="0.25">
      <c r="A3993">
        <v>5</v>
      </c>
    </row>
    <row r="3994" spans="1:1" x14ac:dyDescent="0.25">
      <c r="A3994">
        <v>5</v>
      </c>
    </row>
    <row r="3995" spans="1:1" x14ac:dyDescent="0.25">
      <c r="A3995">
        <v>5</v>
      </c>
    </row>
    <row r="3996" spans="1:1" x14ac:dyDescent="0.25">
      <c r="A3996">
        <v>10</v>
      </c>
    </row>
    <row r="3997" spans="1:1" x14ac:dyDescent="0.25">
      <c r="A3997">
        <v>3.75</v>
      </c>
    </row>
    <row r="3998" spans="1:1" x14ac:dyDescent="0.25">
      <c r="A3998">
        <v>9.75</v>
      </c>
    </row>
    <row r="3999" spans="1:1" x14ac:dyDescent="0.25">
      <c r="A3999">
        <v>5</v>
      </c>
    </row>
    <row r="4000" spans="1:1" x14ac:dyDescent="0.25">
      <c r="A4000">
        <v>5</v>
      </c>
    </row>
    <row r="4001" spans="1:1" x14ac:dyDescent="0.25">
      <c r="A4001">
        <v>5</v>
      </c>
    </row>
    <row r="4002" spans="1:1" x14ac:dyDescent="0.25">
      <c r="A4002">
        <v>5</v>
      </c>
    </row>
    <row r="4003" spans="1:1" x14ac:dyDescent="0.25">
      <c r="A4003">
        <v>5</v>
      </c>
    </row>
    <row r="4004" spans="1:1" x14ac:dyDescent="0.25">
      <c r="A4004">
        <v>5</v>
      </c>
    </row>
    <row r="4005" spans="1:1" x14ac:dyDescent="0.25">
      <c r="A4005">
        <v>5.5</v>
      </c>
    </row>
    <row r="4006" spans="1:1" x14ac:dyDescent="0.25">
      <c r="A4006">
        <v>5</v>
      </c>
    </row>
    <row r="4007" spans="1:1" x14ac:dyDescent="0.25">
      <c r="A4007">
        <v>5.25</v>
      </c>
    </row>
    <row r="4008" spans="1:1" x14ac:dyDescent="0.25">
      <c r="A4008">
        <v>3.75</v>
      </c>
    </row>
    <row r="4009" spans="1:1" x14ac:dyDescent="0.25">
      <c r="A4009">
        <v>5</v>
      </c>
    </row>
    <row r="4010" spans="1:1" x14ac:dyDescent="0.25">
      <c r="A4010">
        <v>4</v>
      </c>
    </row>
    <row r="4011" spans="1:1" x14ac:dyDescent="0.25">
      <c r="A4011">
        <v>5</v>
      </c>
    </row>
    <row r="4012" spans="1:1" x14ac:dyDescent="0.25">
      <c r="A4012">
        <v>3.5</v>
      </c>
    </row>
    <row r="4013" spans="1:1" x14ac:dyDescent="0.25">
      <c r="A4013">
        <v>5</v>
      </c>
    </row>
    <row r="4014" spans="1:1" x14ac:dyDescent="0.25">
      <c r="A4014">
        <v>5</v>
      </c>
    </row>
    <row r="4015" spans="1:1" x14ac:dyDescent="0.25">
      <c r="A4015">
        <v>5</v>
      </c>
    </row>
    <row r="4016" spans="1:1" x14ac:dyDescent="0.25">
      <c r="A4016">
        <v>5.25</v>
      </c>
    </row>
    <row r="4017" spans="1:1" x14ac:dyDescent="0.25">
      <c r="A4017">
        <v>5</v>
      </c>
    </row>
    <row r="4018" spans="1:1" x14ac:dyDescent="0.25">
      <c r="A4018">
        <v>1</v>
      </c>
    </row>
    <row r="4019" spans="1:1" x14ac:dyDescent="0.25">
      <c r="A4019">
        <v>5</v>
      </c>
    </row>
    <row r="4020" spans="1:1" x14ac:dyDescent="0.25">
      <c r="A4020">
        <v>7</v>
      </c>
    </row>
    <row r="4021" spans="1:1" x14ac:dyDescent="0.25">
      <c r="A4021">
        <v>5</v>
      </c>
    </row>
    <row r="4022" spans="1:1" x14ac:dyDescent="0.25">
      <c r="A4022">
        <v>3.5</v>
      </c>
    </row>
    <row r="4023" spans="1:1" x14ac:dyDescent="0.25">
      <c r="A4023">
        <v>2.5</v>
      </c>
    </row>
    <row r="4024" spans="1:1" x14ac:dyDescent="0.25">
      <c r="A4024">
        <v>5</v>
      </c>
    </row>
    <row r="4025" spans="1:1" x14ac:dyDescent="0.25">
      <c r="A4025">
        <v>3</v>
      </c>
    </row>
    <row r="4026" spans="1:1" x14ac:dyDescent="0.25">
      <c r="A4026">
        <v>5</v>
      </c>
    </row>
    <row r="4027" spans="1:1" x14ac:dyDescent="0.25">
      <c r="A4027">
        <v>5</v>
      </c>
    </row>
    <row r="4028" spans="1:1" x14ac:dyDescent="0.25">
      <c r="A4028">
        <v>4.75</v>
      </c>
    </row>
    <row r="4029" spans="1:1" x14ac:dyDescent="0.25">
      <c r="A4029">
        <v>5</v>
      </c>
    </row>
    <row r="4030" spans="1:1" x14ac:dyDescent="0.25">
      <c r="A4030">
        <v>4.5</v>
      </c>
    </row>
    <row r="4031" spans="1:1" x14ac:dyDescent="0.25">
      <c r="A4031">
        <v>4</v>
      </c>
    </row>
    <row r="4032" spans="1:1" x14ac:dyDescent="0.25">
      <c r="A4032">
        <v>2</v>
      </c>
    </row>
    <row r="4033" spans="1:1" x14ac:dyDescent="0.25">
      <c r="A4033">
        <v>5</v>
      </c>
    </row>
    <row r="4034" spans="1:1" x14ac:dyDescent="0.25">
      <c r="A4034">
        <v>5</v>
      </c>
    </row>
    <row r="4035" spans="1:1" x14ac:dyDescent="0.25">
      <c r="A4035">
        <v>5</v>
      </c>
    </row>
    <row r="4036" spans="1:1" x14ac:dyDescent="0.25">
      <c r="A4036">
        <v>10.125</v>
      </c>
    </row>
    <row r="4037" spans="1:1" x14ac:dyDescent="0.25">
      <c r="A4037">
        <v>5</v>
      </c>
    </row>
    <row r="4038" spans="1:1" x14ac:dyDescent="0.25">
      <c r="A4038">
        <v>7.75</v>
      </c>
    </row>
    <row r="4039" spans="1:1" x14ac:dyDescent="0.25">
      <c r="A4039">
        <v>6.75</v>
      </c>
    </row>
    <row r="4040" spans="1:1" x14ac:dyDescent="0.25">
      <c r="A4040">
        <v>3</v>
      </c>
    </row>
    <row r="4041" spans="1:1" x14ac:dyDescent="0.25">
      <c r="A4041">
        <v>5</v>
      </c>
    </row>
    <row r="4042" spans="1:1" x14ac:dyDescent="0.25">
      <c r="A4042">
        <v>4.75</v>
      </c>
    </row>
    <row r="4043" spans="1:1" x14ac:dyDescent="0.25">
      <c r="A4043">
        <v>6</v>
      </c>
    </row>
    <row r="4044" spans="1:1" x14ac:dyDescent="0.25">
      <c r="A4044">
        <v>5</v>
      </c>
    </row>
    <row r="4045" spans="1:1" x14ac:dyDescent="0.25">
      <c r="A4045">
        <v>5</v>
      </c>
    </row>
    <row r="4046" spans="1:1" x14ac:dyDescent="0.25">
      <c r="A4046">
        <v>5.5</v>
      </c>
    </row>
    <row r="4047" spans="1:1" x14ac:dyDescent="0.25">
      <c r="A4047">
        <v>5</v>
      </c>
    </row>
    <row r="4048" spans="1:1" x14ac:dyDescent="0.25">
      <c r="A4048">
        <v>7.25</v>
      </c>
    </row>
    <row r="4049" spans="1:1" x14ac:dyDescent="0.25">
      <c r="A4049">
        <v>5</v>
      </c>
    </row>
    <row r="4050" spans="1:1" x14ac:dyDescent="0.25">
      <c r="A4050">
        <v>5</v>
      </c>
    </row>
    <row r="4051" spans="1:1" x14ac:dyDescent="0.25">
      <c r="A4051">
        <v>5</v>
      </c>
    </row>
    <row r="4052" spans="1:1" x14ac:dyDescent="0.25">
      <c r="A4052">
        <v>5</v>
      </c>
    </row>
    <row r="4053" spans="1:1" x14ac:dyDescent="0.25">
      <c r="A4053">
        <v>3</v>
      </c>
    </row>
    <row r="4054" spans="1:1" x14ac:dyDescent="0.25">
      <c r="A4054">
        <v>5</v>
      </c>
    </row>
    <row r="4055" spans="1:1" x14ac:dyDescent="0.25">
      <c r="A4055">
        <v>5.25</v>
      </c>
    </row>
    <row r="4056" spans="1:1" x14ac:dyDescent="0.25">
      <c r="A4056">
        <v>4</v>
      </c>
    </row>
    <row r="4057" spans="1:1" x14ac:dyDescent="0.25">
      <c r="A4057">
        <v>5</v>
      </c>
    </row>
    <row r="4058" spans="1:1" x14ac:dyDescent="0.25">
      <c r="A4058">
        <v>5</v>
      </c>
    </row>
    <row r="4059" spans="1:1" x14ac:dyDescent="0.25">
      <c r="A4059">
        <v>6</v>
      </c>
    </row>
    <row r="4060" spans="1:1" x14ac:dyDescent="0.25">
      <c r="A4060">
        <v>4.5</v>
      </c>
    </row>
    <row r="4061" spans="1:1" x14ac:dyDescent="0.25">
      <c r="A4061">
        <v>5</v>
      </c>
    </row>
    <row r="4062" spans="1:1" x14ac:dyDescent="0.25">
      <c r="A4062">
        <v>5</v>
      </c>
    </row>
    <row r="4063" spans="1:1" x14ac:dyDescent="0.25">
      <c r="A4063">
        <v>5</v>
      </c>
    </row>
    <row r="4064" spans="1:1" x14ac:dyDescent="0.25">
      <c r="A4064">
        <v>3</v>
      </c>
    </row>
    <row r="4065" spans="1:1" x14ac:dyDescent="0.25">
      <c r="A4065">
        <v>5</v>
      </c>
    </row>
    <row r="4066" spans="1:1" x14ac:dyDescent="0.25">
      <c r="A4066">
        <v>6.5</v>
      </c>
    </row>
    <row r="4067" spans="1:1" x14ac:dyDescent="0.25">
      <c r="A4067">
        <v>5</v>
      </c>
    </row>
    <row r="4068" spans="1:1" x14ac:dyDescent="0.25">
      <c r="A4068">
        <v>5</v>
      </c>
    </row>
    <row r="4069" spans="1:1" x14ac:dyDescent="0.25">
      <c r="A4069">
        <v>3</v>
      </c>
    </row>
    <row r="4070" spans="1:1" x14ac:dyDescent="0.25">
      <c r="A4070">
        <v>5</v>
      </c>
    </row>
    <row r="4071" spans="1:1" x14ac:dyDescent="0.25">
      <c r="A4071">
        <v>5</v>
      </c>
    </row>
    <row r="4072" spans="1:1" x14ac:dyDescent="0.25">
      <c r="A4072">
        <v>7</v>
      </c>
    </row>
    <row r="4073" spans="1:1" x14ac:dyDescent="0.25">
      <c r="A4073">
        <v>5</v>
      </c>
    </row>
    <row r="4074" spans="1:1" x14ac:dyDescent="0.25">
      <c r="A4074">
        <v>5</v>
      </c>
    </row>
    <row r="4075" spans="1:1" x14ac:dyDescent="0.25">
      <c r="A4075">
        <v>5</v>
      </c>
    </row>
    <row r="4076" spans="1:1" x14ac:dyDescent="0.25">
      <c r="A4076">
        <v>5</v>
      </c>
    </row>
    <row r="4077" spans="1:1" x14ac:dyDescent="0.25">
      <c r="A4077">
        <v>5</v>
      </c>
    </row>
    <row r="4078" spans="1:1" x14ac:dyDescent="0.25">
      <c r="A4078">
        <v>2.75</v>
      </c>
    </row>
    <row r="4079" spans="1:1" x14ac:dyDescent="0.25">
      <c r="A4079">
        <v>5</v>
      </c>
    </row>
    <row r="4080" spans="1:1" x14ac:dyDescent="0.25">
      <c r="A4080">
        <v>3.25</v>
      </c>
    </row>
    <row r="4081" spans="1:1" x14ac:dyDescent="0.25">
      <c r="A4081">
        <v>5</v>
      </c>
    </row>
    <row r="4082" spans="1:1" x14ac:dyDescent="0.25">
      <c r="A4082">
        <v>1</v>
      </c>
    </row>
    <row r="4083" spans="1:1" x14ac:dyDescent="0.25">
      <c r="A4083">
        <v>4.75</v>
      </c>
    </row>
    <row r="4084" spans="1:1" x14ac:dyDescent="0.25">
      <c r="A4084">
        <v>3.75</v>
      </c>
    </row>
    <row r="4085" spans="1:1" x14ac:dyDescent="0.25">
      <c r="A4085">
        <v>3.75</v>
      </c>
    </row>
    <row r="4086" spans="1:1" x14ac:dyDescent="0.25">
      <c r="A4086">
        <v>8.75</v>
      </c>
    </row>
    <row r="4087" spans="1:1" x14ac:dyDescent="0.25">
      <c r="A4087">
        <v>10</v>
      </c>
    </row>
    <row r="4088" spans="1:1" x14ac:dyDescent="0.25">
      <c r="A4088">
        <v>1</v>
      </c>
    </row>
    <row r="4089" spans="1:1" x14ac:dyDescent="0.25">
      <c r="A4089">
        <v>4</v>
      </c>
    </row>
    <row r="4090" spans="1:1" x14ac:dyDescent="0.25">
      <c r="A4090">
        <v>5</v>
      </c>
    </row>
    <row r="4091" spans="1:1" x14ac:dyDescent="0.25">
      <c r="A4091">
        <v>5</v>
      </c>
    </row>
    <row r="4092" spans="1:1" x14ac:dyDescent="0.25">
      <c r="A4092">
        <v>5</v>
      </c>
    </row>
    <row r="4093" spans="1:1" x14ac:dyDescent="0.25">
      <c r="A4093">
        <v>1</v>
      </c>
    </row>
    <row r="4094" spans="1:1" x14ac:dyDescent="0.25">
      <c r="A4094">
        <v>5</v>
      </c>
    </row>
    <row r="4095" spans="1:1" x14ac:dyDescent="0.25">
      <c r="A4095">
        <v>4.25</v>
      </c>
    </row>
    <row r="4096" spans="1:1" x14ac:dyDescent="0.25">
      <c r="A4096">
        <v>5</v>
      </c>
    </row>
    <row r="4097" spans="1:1" x14ac:dyDescent="0.25">
      <c r="A4097">
        <v>5</v>
      </c>
    </row>
    <row r="4098" spans="1:1" x14ac:dyDescent="0.25">
      <c r="A4098">
        <v>4</v>
      </c>
    </row>
    <row r="4099" spans="1:1" x14ac:dyDescent="0.25">
      <c r="A4099">
        <v>6.5</v>
      </c>
    </row>
    <row r="4100" spans="1:1" x14ac:dyDescent="0.25">
      <c r="A4100">
        <v>10</v>
      </c>
    </row>
    <row r="4101" spans="1:1" x14ac:dyDescent="0.25">
      <c r="A4101">
        <v>5</v>
      </c>
    </row>
    <row r="4102" spans="1:1" x14ac:dyDescent="0.25">
      <c r="A4102">
        <v>10</v>
      </c>
    </row>
    <row r="4103" spans="1:1" x14ac:dyDescent="0.25">
      <c r="A4103">
        <v>2.5</v>
      </c>
    </row>
    <row r="4104" spans="1:1" x14ac:dyDescent="0.25">
      <c r="A4104">
        <v>2</v>
      </c>
    </row>
    <row r="4105" spans="1:1" x14ac:dyDescent="0.25">
      <c r="A4105">
        <v>5</v>
      </c>
    </row>
    <row r="4106" spans="1:1" x14ac:dyDescent="0.25">
      <c r="A4106">
        <v>4.5</v>
      </c>
    </row>
    <row r="4107" spans="1:1" x14ac:dyDescent="0.25">
      <c r="A4107">
        <v>6</v>
      </c>
    </row>
    <row r="4108" spans="1:1" x14ac:dyDescent="0.25">
      <c r="A4108">
        <v>5</v>
      </c>
    </row>
    <row r="4109" spans="1:1" x14ac:dyDescent="0.25">
      <c r="A4109">
        <v>3</v>
      </c>
    </row>
    <row r="4110" spans="1:1" x14ac:dyDescent="0.25">
      <c r="A4110">
        <v>5</v>
      </c>
    </row>
    <row r="4111" spans="1:1" x14ac:dyDescent="0.25">
      <c r="A4111">
        <v>7.25</v>
      </c>
    </row>
    <row r="4112" spans="1:1" x14ac:dyDescent="0.25">
      <c r="A4112">
        <v>7.5</v>
      </c>
    </row>
    <row r="4113" spans="1:1" x14ac:dyDescent="0.25">
      <c r="A4113">
        <v>5</v>
      </c>
    </row>
    <row r="4114" spans="1:1" x14ac:dyDescent="0.25">
      <c r="A4114">
        <v>5</v>
      </c>
    </row>
    <row r="4115" spans="1:1" x14ac:dyDescent="0.25">
      <c r="A4115">
        <v>5</v>
      </c>
    </row>
    <row r="4116" spans="1:1" x14ac:dyDescent="0.25">
      <c r="A4116">
        <v>5</v>
      </c>
    </row>
    <row r="4117" spans="1:1" x14ac:dyDescent="0.25">
      <c r="A4117">
        <v>10.5</v>
      </c>
    </row>
    <row r="4118" spans="1:1" x14ac:dyDescent="0.25">
      <c r="A4118">
        <v>4.875</v>
      </c>
    </row>
    <row r="4119" spans="1:1" x14ac:dyDescent="0.25">
      <c r="A4119">
        <v>10</v>
      </c>
    </row>
    <row r="4120" spans="1:1" x14ac:dyDescent="0.25">
      <c r="A4120">
        <v>3</v>
      </c>
    </row>
    <row r="4121" spans="1:1" x14ac:dyDescent="0.25">
      <c r="A4121">
        <v>1</v>
      </c>
    </row>
    <row r="4122" spans="1:1" x14ac:dyDescent="0.25">
      <c r="A4122">
        <v>5</v>
      </c>
    </row>
    <row r="4123" spans="1:1" x14ac:dyDescent="0.25">
      <c r="A4123">
        <v>5.625</v>
      </c>
    </row>
    <row r="4124" spans="1:1" x14ac:dyDescent="0.25">
      <c r="A4124">
        <v>5</v>
      </c>
    </row>
    <row r="4125" spans="1:1" x14ac:dyDescent="0.25">
      <c r="A4125">
        <v>4.125</v>
      </c>
    </row>
    <row r="4126" spans="1:1" x14ac:dyDescent="0.25">
      <c r="A4126">
        <v>3.75</v>
      </c>
    </row>
    <row r="4127" spans="1:1" x14ac:dyDescent="0.25">
      <c r="A4127">
        <v>3</v>
      </c>
    </row>
    <row r="4128" spans="1:1" x14ac:dyDescent="0.25">
      <c r="A4128">
        <v>5</v>
      </c>
    </row>
    <row r="4129" spans="1:1" x14ac:dyDescent="0.25">
      <c r="A4129">
        <v>5</v>
      </c>
    </row>
    <row r="4130" spans="1:1" x14ac:dyDescent="0.25">
      <c r="A4130">
        <v>8.625</v>
      </c>
    </row>
    <row r="4131" spans="1:1" x14ac:dyDescent="0.25">
      <c r="A4131">
        <v>5</v>
      </c>
    </row>
    <row r="4132" spans="1:1" x14ac:dyDescent="0.25">
      <c r="A4132">
        <v>0.75</v>
      </c>
    </row>
    <row r="4133" spans="1:1" x14ac:dyDescent="0.25">
      <c r="A4133">
        <v>2</v>
      </c>
    </row>
    <row r="4134" spans="1:1" x14ac:dyDescent="0.25">
      <c r="A4134">
        <v>5</v>
      </c>
    </row>
    <row r="4135" spans="1:1" x14ac:dyDescent="0.25">
      <c r="A4135">
        <v>4</v>
      </c>
    </row>
    <row r="4136" spans="1:1" x14ac:dyDescent="0.25">
      <c r="A4136">
        <v>3</v>
      </c>
    </row>
    <row r="4137" spans="1:1" x14ac:dyDescent="0.25">
      <c r="A4137">
        <v>5</v>
      </c>
    </row>
    <row r="4138" spans="1:1" x14ac:dyDescent="0.25">
      <c r="A4138">
        <v>10</v>
      </c>
    </row>
    <row r="4139" spans="1:1" x14ac:dyDescent="0.25">
      <c r="A4139">
        <v>0.75</v>
      </c>
    </row>
    <row r="4140" spans="1:1" x14ac:dyDescent="0.25">
      <c r="A4140">
        <v>4.5</v>
      </c>
    </row>
    <row r="4141" spans="1:1" x14ac:dyDescent="0.25">
      <c r="A4141">
        <v>5</v>
      </c>
    </row>
    <row r="4142" spans="1:1" x14ac:dyDescent="0.25">
      <c r="A4142">
        <v>2.25</v>
      </c>
    </row>
    <row r="4143" spans="1:1" x14ac:dyDescent="0.25">
      <c r="A4143">
        <v>0.5</v>
      </c>
    </row>
    <row r="4144" spans="1:1" x14ac:dyDescent="0.25">
      <c r="A4144">
        <v>5</v>
      </c>
    </row>
    <row r="4145" spans="1:1" x14ac:dyDescent="0.25">
      <c r="A4145">
        <v>4</v>
      </c>
    </row>
    <row r="4146" spans="1:1" x14ac:dyDescent="0.25">
      <c r="A4146">
        <v>5</v>
      </c>
    </row>
    <row r="4147" spans="1:1" x14ac:dyDescent="0.25">
      <c r="A4147">
        <v>3.5</v>
      </c>
    </row>
    <row r="4148" spans="1:1" x14ac:dyDescent="0.25">
      <c r="A4148">
        <v>5.5</v>
      </c>
    </row>
    <row r="4149" spans="1:1" x14ac:dyDescent="0.25">
      <c r="A4149">
        <v>5</v>
      </c>
    </row>
    <row r="4150" spans="1:1" x14ac:dyDescent="0.25">
      <c r="A4150">
        <v>6.5</v>
      </c>
    </row>
    <row r="4151" spans="1:1" x14ac:dyDescent="0.25">
      <c r="A4151">
        <v>5</v>
      </c>
    </row>
    <row r="4152" spans="1:1" x14ac:dyDescent="0.25">
      <c r="A4152">
        <v>4</v>
      </c>
    </row>
    <row r="4153" spans="1:1" x14ac:dyDescent="0.25">
      <c r="A4153">
        <v>5</v>
      </c>
    </row>
    <row r="4154" spans="1:1" x14ac:dyDescent="0.25">
      <c r="A4154">
        <v>5</v>
      </c>
    </row>
    <row r="4155" spans="1:1" x14ac:dyDescent="0.25">
      <c r="A4155">
        <v>10</v>
      </c>
    </row>
    <row r="4156" spans="1:1" x14ac:dyDescent="0.25">
      <c r="A4156">
        <v>6</v>
      </c>
    </row>
    <row r="4157" spans="1:1" x14ac:dyDescent="0.25">
      <c r="A4157">
        <v>5</v>
      </c>
    </row>
    <row r="4158" spans="1:1" x14ac:dyDescent="0.25">
      <c r="A4158">
        <v>4.75</v>
      </c>
    </row>
    <row r="4159" spans="1:1" x14ac:dyDescent="0.25">
      <c r="A4159">
        <v>4.25</v>
      </c>
    </row>
    <row r="4160" spans="1:1" x14ac:dyDescent="0.25">
      <c r="A4160">
        <v>1.5</v>
      </c>
    </row>
    <row r="4161" spans="1:1" x14ac:dyDescent="0.25">
      <c r="A4161">
        <v>5</v>
      </c>
    </row>
    <row r="4162" spans="1:1" x14ac:dyDescent="0.25">
      <c r="A4162">
        <v>5</v>
      </c>
    </row>
    <row r="4163" spans="1:1" x14ac:dyDescent="0.25">
      <c r="A4163">
        <v>3</v>
      </c>
    </row>
    <row r="4164" spans="1:1" x14ac:dyDescent="0.25">
      <c r="A4164">
        <v>5</v>
      </c>
    </row>
    <row r="4165" spans="1:1" x14ac:dyDescent="0.25">
      <c r="A4165">
        <v>5</v>
      </c>
    </row>
    <row r="4166" spans="1:1" x14ac:dyDescent="0.25">
      <c r="A4166">
        <v>0.75</v>
      </c>
    </row>
    <row r="4167" spans="1:1" x14ac:dyDescent="0.25">
      <c r="A4167">
        <v>10.125</v>
      </c>
    </row>
    <row r="4168" spans="1:1" x14ac:dyDescent="0.25">
      <c r="A4168">
        <v>3.5</v>
      </c>
    </row>
    <row r="4169" spans="1:1" x14ac:dyDescent="0.25">
      <c r="A4169">
        <v>3</v>
      </c>
    </row>
    <row r="4170" spans="1:1" x14ac:dyDescent="0.25">
      <c r="A4170">
        <v>4.75</v>
      </c>
    </row>
    <row r="4171" spans="1:1" x14ac:dyDescent="0.25">
      <c r="A4171">
        <v>3.5</v>
      </c>
    </row>
    <row r="4172" spans="1:1" x14ac:dyDescent="0.25">
      <c r="A4172">
        <v>5</v>
      </c>
    </row>
    <row r="4173" spans="1:1" x14ac:dyDescent="0.25">
      <c r="A4173">
        <v>5</v>
      </c>
    </row>
    <row r="4174" spans="1:1" x14ac:dyDescent="0.25">
      <c r="A4174">
        <v>3.25</v>
      </c>
    </row>
    <row r="4175" spans="1:1" x14ac:dyDescent="0.25">
      <c r="A4175">
        <v>5</v>
      </c>
    </row>
    <row r="4176" spans="1:1" x14ac:dyDescent="0.25">
      <c r="A4176">
        <v>5</v>
      </c>
    </row>
    <row r="4177" spans="1:1" x14ac:dyDescent="0.25">
      <c r="A4177">
        <v>5</v>
      </c>
    </row>
    <row r="4178" spans="1:1" x14ac:dyDescent="0.25">
      <c r="A4178">
        <v>4</v>
      </c>
    </row>
    <row r="4179" spans="1:1" x14ac:dyDescent="0.25">
      <c r="A4179">
        <v>5</v>
      </c>
    </row>
    <row r="4180" spans="1:1" x14ac:dyDescent="0.25">
      <c r="A4180">
        <v>4</v>
      </c>
    </row>
    <row r="4181" spans="1:1" x14ac:dyDescent="0.25">
      <c r="A4181">
        <v>5</v>
      </c>
    </row>
    <row r="4182" spans="1:1" x14ac:dyDescent="0.25">
      <c r="A4182">
        <v>5</v>
      </c>
    </row>
    <row r="4183" spans="1:1" x14ac:dyDescent="0.25">
      <c r="A4183">
        <v>6.5</v>
      </c>
    </row>
    <row r="4184" spans="1:1" x14ac:dyDescent="0.25">
      <c r="A4184">
        <v>3</v>
      </c>
    </row>
    <row r="4185" spans="1:1" x14ac:dyDescent="0.25">
      <c r="A4185">
        <v>5</v>
      </c>
    </row>
    <row r="4186" spans="1:1" x14ac:dyDescent="0.25">
      <c r="A4186">
        <v>5</v>
      </c>
    </row>
    <row r="4187" spans="1:1" x14ac:dyDescent="0.25">
      <c r="A4187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F26"/>
  <sheetViews>
    <sheetView zoomScale="90" zoomScaleNormal="90" workbookViewId="0">
      <pane xSplit="1" ySplit="3" topLeftCell="O4" activePane="bottomRight" state="frozen"/>
      <selection pane="topRight" activeCell="B1" sqref="B1"/>
      <selection pane="bottomLeft" activeCell="A3" sqref="A3"/>
      <selection pane="bottomRight" activeCell="AF26" sqref="AF26"/>
    </sheetView>
  </sheetViews>
  <sheetFormatPr defaultColWidth="8.85546875" defaultRowHeight="15" x14ac:dyDescent="0.25"/>
  <cols>
    <col min="1" max="1" width="41.5703125" style="64" bestFit="1" customWidth="1"/>
    <col min="2" max="8" width="12.140625" style="64" customWidth="1"/>
    <col min="9" max="16" width="10.140625" style="64" bestFit="1" customWidth="1"/>
    <col min="17" max="20" width="11.140625" style="64" bestFit="1" customWidth="1"/>
    <col min="21" max="24" width="11" style="64" bestFit="1" customWidth="1"/>
    <col min="25" max="26" width="11.42578125" style="64" bestFit="1" customWidth="1"/>
    <col min="27" max="28" width="11.140625" style="64" bestFit="1" customWidth="1"/>
    <col min="29" max="29" width="10.42578125" style="64" bestFit="1" customWidth="1"/>
    <col min="30" max="31" width="10.140625" style="64" bestFit="1" customWidth="1"/>
    <col min="32" max="33" width="10.42578125" style="64" bestFit="1" customWidth="1"/>
    <col min="34" max="40" width="10.140625" style="64" bestFit="1" customWidth="1"/>
    <col min="41" max="41" width="10.42578125" style="64" bestFit="1" customWidth="1"/>
    <col min="42" max="43" width="10.140625" style="64" bestFit="1" customWidth="1"/>
    <col min="44" max="49" width="10.42578125" style="64" bestFit="1" customWidth="1"/>
    <col min="50" max="50" width="10.5703125" style="64" bestFit="1" customWidth="1"/>
    <col min="51" max="51" width="9.5703125" style="64" bestFit="1" customWidth="1"/>
    <col min="52" max="52" width="11.140625" style="64" bestFit="1" customWidth="1"/>
    <col min="53" max="53" width="10.140625" style="64" bestFit="1" customWidth="1"/>
    <col min="54" max="54" width="11" style="64" bestFit="1" customWidth="1"/>
    <col min="55" max="55" width="9.85546875" style="64" bestFit="1" customWidth="1"/>
    <col min="56" max="56" width="11.5703125" style="64" bestFit="1" customWidth="1"/>
    <col min="57" max="57" width="8.85546875" style="64"/>
    <col min="58" max="58" width="13" style="64" bestFit="1" customWidth="1"/>
    <col min="59" max="59" width="8.85546875" style="64"/>
    <col min="60" max="60" width="11.140625" style="64" bestFit="1" customWidth="1"/>
    <col min="61" max="16384" width="8.85546875" style="64"/>
  </cols>
  <sheetData>
    <row r="1" spans="1:58" s="65" customFormat="1" ht="11.1" thickBot="1" x14ac:dyDescent="0.3">
      <c r="B1" s="121"/>
      <c r="C1" s="121"/>
      <c r="D1" s="121"/>
      <c r="E1" s="121"/>
      <c r="F1" s="121"/>
      <c r="G1" s="121"/>
      <c r="H1" s="121"/>
      <c r="I1" s="121" t="s">
        <v>149</v>
      </c>
      <c r="J1" s="121" t="s">
        <v>150</v>
      </c>
      <c r="K1" s="121" t="s">
        <v>165</v>
      </c>
      <c r="L1" s="121" t="s">
        <v>166</v>
      </c>
      <c r="M1" s="121" t="s">
        <v>151</v>
      </c>
      <c r="N1" s="121" t="s">
        <v>153</v>
      </c>
      <c r="O1" s="121" t="s">
        <v>152</v>
      </c>
      <c r="P1" s="121" t="s">
        <v>141</v>
      </c>
      <c r="Q1" s="121" t="s">
        <v>142</v>
      </c>
      <c r="R1" s="121" t="s">
        <v>168</v>
      </c>
      <c r="S1" s="121" t="s">
        <v>143</v>
      </c>
      <c r="T1" s="121" t="s">
        <v>144</v>
      </c>
      <c r="U1" s="121" t="s">
        <v>145</v>
      </c>
      <c r="V1" s="121" t="s">
        <v>146</v>
      </c>
      <c r="W1" s="121" t="s">
        <v>147</v>
      </c>
      <c r="X1" s="121" t="s">
        <v>148</v>
      </c>
      <c r="Y1" s="121" t="s">
        <v>154</v>
      </c>
      <c r="Z1" s="121" t="s">
        <v>155</v>
      </c>
      <c r="AA1" s="121" t="s">
        <v>156</v>
      </c>
      <c r="AB1" s="121" t="s">
        <v>167</v>
      </c>
      <c r="AC1" s="121" t="s">
        <v>157</v>
      </c>
      <c r="AD1" s="121" t="s">
        <v>158</v>
      </c>
      <c r="AE1" s="121" t="s">
        <v>159</v>
      </c>
      <c r="AF1" s="121" t="s">
        <v>160</v>
      </c>
      <c r="AG1" s="121" t="s">
        <v>161</v>
      </c>
      <c r="AH1" s="121" t="s">
        <v>162</v>
      </c>
      <c r="AI1" s="121" t="s">
        <v>163</v>
      </c>
      <c r="AJ1" s="121" t="s">
        <v>164</v>
      </c>
      <c r="AK1" s="121" t="s">
        <v>201</v>
      </c>
      <c r="AL1" s="121" t="s">
        <v>202</v>
      </c>
      <c r="AM1" s="121" t="s">
        <v>203</v>
      </c>
      <c r="AN1" s="121" t="s">
        <v>204</v>
      </c>
      <c r="AO1" s="121" t="s">
        <v>205</v>
      </c>
      <c r="AP1" s="121" t="s">
        <v>206</v>
      </c>
      <c r="AQ1" s="121" t="s">
        <v>207</v>
      </c>
      <c r="AR1" s="121" t="s">
        <v>209</v>
      </c>
      <c r="AS1" s="121" t="s">
        <v>210</v>
      </c>
      <c r="AT1" s="121" t="s">
        <v>211</v>
      </c>
      <c r="AU1" s="121" t="s">
        <v>212</v>
      </c>
      <c r="AV1" s="121" t="s">
        <v>213</v>
      </c>
      <c r="AW1" s="121" t="s">
        <v>214</v>
      </c>
      <c r="AX1" s="121" t="s">
        <v>215</v>
      </c>
      <c r="AY1" s="121" t="s">
        <v>216</v>
      </c>
      <c r="AZ1" s="121" t="s">
        <v>217</v>
      </c>
      <c r="BA1" s="121" t="s">
        <v>218</v>
      </c>
      <c r="BB1" s="121" t="s">
        <v>219</v>
      </c>
      <c r="BC1" s="121" t="s">
        <v>220</v>
      </c>
      <c r="BD1" s="121" t="s">
        <v>221</v>
      </c>
    </row>
    <row r="2" spans="1:58" s="66" customFormat="1" thickBot="1" x14ac:dyDescent="0.4">
      <c r="A2" s="66" t="s">
        <v>108</v>
      </c>
      <c r="B2" s="155">
        <v>2016</v>
      </c>
      <c r="C2" s="156"/>
      <c r="D2" s="156"/>
      <c r="E2" s="157"/>
      <c r="F2" s="157"/>
      <c r="G2" s="157"/>
      <c r="H2" s="158"/>
      <c r="I2" s="153">
        <v>42751</v>
      </c>
      <c r="J2" s="151"/>
      <c r="K2" s="151"/>
      <c r="L2" s="152"/>
      <c r="M2" s="150">
        <v>42782</v>
      </c>
      <c r="N2" s="151"/>
      <c r="O2" s="151"/>
      <c r="P2" s="154"/>
      <c r="Q2" s="147">
        <v>42810</v>
      </c>
      <c r="R2" s="148"/>
      <c r="S2" s="148"/>
      <c r="T2" s="149"/>
      <c r="U2" s="147">
        <v>42841</v>
      </c>
      <c r="V2" s="148"/>
      <c r="W2" s="148"/>
      <c r="X2" s="148"/>
      <c r="Y2" s="147">
        <v>42871</v>
      </c>
      <c r="Z2" s="148"/>
      <c r="AA2" s="148"/>
      <c r="AB2" s="149"/>
      <c r="AC2" s="147">
        <v>42902</v>
      </c>
      <c r="AD2" s="148"/>
      <c r="AE2" s="148"/>
      <c r="AF2" s="149"/>
      <c r="AG2" s="147">
        <v>42932</v>
      </c>
      <c r="AH2" s="148"/>
      <c r="AI2" s="148"/>
      <c r="AJ2" s="149"/>
      <c r="AK2" s="147">
        <v>42963</v>
      </c>
      <c r="AL2" s="148"/>
      <c r="AM2" s="148"/>
      <c r="AN2" s="149"/>
      <c r="AO2" s="147">
        <v>42994</v>
      </c>
      <c r="AP2" s="148"/>
      <c r="AQ2" s="148"/>
      <c r="AR2" s="149"/>
      <c r="AS2" s="147">
        <v>43024</v>
      </c>
      <c r="AT2" s="148"/>
      <c r="AU2" s="148"/>
      <c r="AV2" s="149"/>
      <c r="AW2" s="147">
        <v>43055</v>
      </c>
      <c r="AX2" s="148"/>
      <c r="AY2" s="148"/>
      <c r="AZ2" s="149"/>
      <c r="BA2" s="147">
        <v>43085</v>
      </c>
      <c r="BB2" s="148"/>
      <c r="BC2" s="148"/>
      <c r="BD2" s="149"/>
    </row>
    <row r="3" spans="1:58" s="105" customFormat="1" ht="14.45" x14ac:dyDescent="0.35">
      <c r="B3" s="112" t="s">
        <v>121</v>
      </c>
      <c r="C3" s="113" t="s">
        <v>122</v>
      </c>
      <c r="D3" s="113" t="s">
        <v>123</v>
      </c>
      <c r="E3" s="116" t="s">
        <v>61</v>
      </c>
      <c r="F3" s="116" t="s">
        <v>62</v>
      </c>
      <c r="G3" s="116" t="s">
        <v>63</v>
      </c>
      <c r="H3" s="114" t="s">
        <v>124</v>
      </c>
      <c r="I3" s="112" t="s">
        <v>125</v>
      </c>
      <c r="J3" s="113" t="s">
        <v>126</v>
      </c>
      <c r="K3" s="113" t="s">
        <v>127</v>
      </c>
      <c r="L3" s="114" t="s">
        <v>128</v>
      </c>
      <c r="M3" s="115" t="s">
        <v>129</v>
      </c>
      <c r="N3" s="113" t="s">
        <v>130</v>
      </c>
      <c r="O3" s="113" t="s">
        <v>131</v>
      </c>
      <c r="P3" s="116" t="s">
        <v>132</v>
      </c>
      <c r="Q3" s="112" t="s">
        <v>133</v>
      </c>
      <c r="R3" s="113" t="s">
        <v>134</v>
      </c>
      <c r="S3" s="113" t="s">
        <v>135</v>
      </c>
      <c r="T3" s="114" t="s">
        <v>136</v>
      </c>
      <c r="U3" s="112" t="s">
        <v>137</v>
      </c>
      <c r="V3" s="113" t="s">
        <v>138</v>
      </c>
      <c r="W3" s="113" t="s">
        <v>139</v>
      </c>
      <c r="X3" s="113" t="s">
        <v>140</v>
      </c>
      <c r="Y3" s="112" t="s">
        <v>169</v>
      </c>
      <c r="Z3" s="113" t="s">
        <v>170</v>
      </c>
      <c r="AA3" s="113" t="s">
        <v>171</v>
      </c>
      <c r="AB3" s="114" t="s">
        <v>172</v>
      </c>
      <c r="AC3" s="118" t="s">
        <v>173</v>
      </c>
      <c r="AD3" s="119" t="s">
        <v>174</v>
      </c>
      <c r="AE3" s="119" t="s">
        <v>175</v>
      </c>
      <c r="AF3" s="114" t="s">
        <v>176</v>
      </c>
      <c r="AG3" s="112" t="s">
        <v>177</v>
      </c>
      <c r="AH3" s="113" t="s">
        <v>178</v>
      </c>
      <c r="AI3" s="113" t="s">
        <v>179</v>
      </c>
      <c r="AJ3" s="114" t="s">
        <v>180</v>
      </c>
      <c r="AK3" s="112" t="s">
        <v>181</v>
      </c>
      <c r="AL3" s="113" t="s">
        <v>182</v>
      </c>
      <c r="AM3" s="113" t="s">
        <v>183</v>
      </c>
      <c r="AN3" s="114" t="s">
        <v>184</v>
      </c>
      <c r="AO3" s="112" t="s">
        <v>185</v>
      </c>
      <c r="AP3" s="113" t="s">
        <v>186</v>
      </c>
      <c r="AQ3" s="113" t="s">
        <v>187</v>
      </c>
      <c r="AR3" s="114" t="s">
        <v>188</v>
      </c>
      <c r="AS3" s="112" t="s">
        <v>189</v>
      </c>
      <c r="AT3" s="113" t="s">
        <v>190</v>
      </c>
      <c r="AU3" s="113" t="s">
        <v>191</v>
      </c>
      <c r="AV3" s="114" t="s">
        <v>192</v>
      </c>
      <c r="AW3" s="112" t="s">
        <v>193</v>
      </c>
      <c r="AX3" s="113" t="s">
        <v>194</v>
      </c>
      <c r="AY3" s="116" t="s">
        <v>195</v>
      </c>
      <c r="AZ3" s="114" t="s">
        <v>196</v>
      </c>
      <c r="BA3" s="112" t="s">
        <v>197</v>
      </c>
      <c r="BB3" s="113" t="s">
        <v>198</v>
      </c>
      <c r="BC3" s="113" t="s">
        <v>199</v>
      </c>
      <c r="BD3" s="114" t="s">
        <v>200</v>
      </c>
    </row>
    <row r="4" spans="1:58" s="68" customFormat="1" ht="14.45" x14ac:dyDescent="0.35">
      <c r="A4" s="68" t="s">
        <v>117</v>
      </c>
      <c r="B4" s="110">
        <v>125540.42</v>
      </c>
      <c r="C4" s="77">
        <v>158961.53</v>
      </c>
      <c r="D4" s="77">
        <v>158803.78</v>
      </c>
      <c r="E4" s="127">
        <v>38234.693077475604</v>
      </c>
      <c r="F4" s="127">
        <v>44235.761082435747</v>
      </c>
      <c r="G4" s="127">
        <v>42533.561493391491</v>
      </c>
      <c r="H4" s="111">
        <v>125004.02</v>
      </c>
      <c r="I4" s="82">
        <v>5817.82</v>
      </c>
      <c r="J4" s="78">
        <v>11093.00621067133</v>
      </c>
      <c r="K4" s="78">
        <v>11142.22</v>
      </c>
      <c r="L4" s="80">
        <v>15222.11</v>
      </c>
      <c r="M4" s="81">
        <v>7466.5413905112955</v>
      </c>
      <c r="N4" s="78">
        <v>12555.359621336031</v>
      </c>
      <c r="O4" s="78">
        <v>12932.744501154591</v>
      </c>
      <c r="P4" s="79">
        <v>17880.615653414236</v>
      </c>
      <c r="Q4" s="82">
        <v>7792.4684001090591</v>
      </c>
      <c r="R4" s="78">
        <v>12206.322461069873</v>
      </c>
      <c r="S4" s="78">
        <v>11932.419480875662</v>
      </c>
      <c r="T4" s="80">
        <v>24130.638561833166</v>
      </c>
      <c r="U4" s="82">
        <v>12558.510350934253</v>
      </c>
      <c r="V4" s="78">
        <v>11246.857990764449</v>
      </c>
      <c r="W4" s="78">
        <v>11246.066702041289</v>
      </c>
      <c r="X4" s="78">
        <v>10504.649296649453</v>
      </c>
      <c r="Y4" s="82">
        <v>10201.174190583923</v>
      </c>
      <c r="Z4" s="78">
        <v>10491.67992060442</v>
      </c>
      <c r="AA4" s="78">
        <v>10501.822580033713</v>
      </c>
      <c r="AB4" s="80">
        <v>14821.297060765599</v>
      </c>
      <c r="AC4" s="82">
        <v>13169.189040521362</v>
      </c>
      <c r="AD4" s="78">
        <v>9862.5053409495413</v>
      </c>
      <c r="AE4" s="78">
        <v>9806.8650502040055</v>
      </c>
      <c r="AF4" s="80">
        <v>11213.150420618771</v>
      </c>
      <c r="AG4" s="82">
        <v>6588.7147502519456</v>
      </c>
      <c r="AH4" s="78">
        <v>10752.835290534385</v>
      </c>
      <c r="AI4" s="78">
        <v>10311.404360532064</v>
      </c>
      <c r="AJ4" s="80">
        <v>13693.653009089983</v>
      </c>
      <c r="AK4" s="82">
        <v>9363.6903229099953</v>
      </c>
      <c r="AL4" s="78">
        <v>12949.628750961681</v>
      </c>
      <c r="AM4" s="78">
        <v>12135.880600902574</v>
      </c>
      <c r="AN4" s="80">
        <v>24015.479631164533</v>
      </c>
      <c r="AO4" s="82">
        <v>11240.15931117648</v>
      </c>
      <c r="AP4" s="78">
        <v>12004.851301110175</v>
      </c>
      <c r="AQ4" s="78">
        <v>11883.47158082663</v>
      </c>
      <c r="AR4" s="80">
        <v>10702.308190741758</v>
      </c>
      <c r="AS4" s="82">
        <v>9656.2146605957278</v>
      </c>
      <c r="AT4" s="78">
        <v>10441.237320729551</v>
      </c>
      <c r="AU4" s="78">
        <v>11502.82889267568</v>
      </c>
      <c r="AV4" s="80">
        <v>9475.5245010783292</v>
      </c>
      <c r="AW4" s="82">
        <v>14688.570710915836</v>
      </c>
      <c r="AX4" s="82">
        <v>10641.430465211852</v>
      </c>
      <c r="AY4" s="78">
        <v>7325.2765904394319</v>
      </c>
      <c r="AZ4" s="80">
        <v>9122.6731106815532</v>
      </c>
      <c r="BA4" s="82">
        <v>11567.72</v>
      </c>
      <c r="BB4" s="78">
        <v>11209.16</v>
      </c>
      <c r="BC4" s="78">
        <v>10113.52</v>
      </c>
      <c r="BD4" s="80">
        <v>8038.63</v>
      </c>
      <c r="BF4" s="135">
        <f>SUM(AS4:BD4)</f>
        <v>123782.78625232798</v>
      </c>
    </row>
    <row r="5" spans="1:58" s="68" customFormat="1" thickBot="1" x14ac:dyDescent="0.4">
      <c r="A5" s="68" t="s">
        <v>118</v>
      </c>
      <c r="B5" s="107">
        <f>SUM(B7:B9)</f>
        <v>211205.125</v>
      </c>
      <c r="C5" s="108">
        <f t="shared" ref="C5:BD5" si="0">SUM(C7:C9)</f>
        <v>250795.875</v>
      </c>
      <c r="D5" s="108">
        <f t="shared" si="0"/>
        <v>263868.5</v>
      </c>
      <c r="E5" s="108">
        <f t="shared" si="0"/>
        <v>72021</v>
      </c>
      <c r="F5" s="108">
        <f t="shared" si="0"/>
        <v>70901</v>
      </c>
      <c r="G5" s="108">
        <f t="shared" si="0"/>
        <v>64547</v>
      </c>
      <c r="H5" s="109">
        <f t="shared" si="0"/>
        <v>207467.1</v>
      </c>
      <c r="I5" s="107">
        <f t="shared" si="0"/>
        <v>11392.75</v>
      </c>
      <c r="J5" s="108">
        <f t="shared" si="0"/>
        <v>17643.63</v>
      </c>
      <c r="K5" s="108">
        <f t="shared" si="0"/>
        <v>18257.13</v>
      </c>
      <c r="L5" s="109">
        <f t="shared" si="0"/>
        <v>24410.38</v>
      </c>
      <c r="M5" s="107">
        <f t="shared" si="0"/>
        <v>12925.880000000001</v>
      </c>
      <c r="N5" s="108">
        <f t="shared" si="0"/>
        <v>19039.5</v>
      </c>
      <c r="O5" s="108">
        <f t="shared" si="0"/>
        <v>20183.25</v>
      </c>
      <c r="P5" s="109">
        <f t="shared" si="0"/>
        <v>27857.38</v>
      </c>
      <c r="Q5" s="107">
        <f t="shared" si="0"/>
        <v>12522.380000000001</v>
      </c>
      <c r="R5" s="108">
        <f t="shared" si="0"/>
        <v>20411.75</v>
      </c>
      <c r="S5" s="108">
        <f t="shared" si="0"/>
        <v>19873.13</v>
      </c>
      <c r="T5" s="109">
        <f t="shared" si="0"/>
        <v>39473.5</v>
      </c>
      <c r="U5" s="107">
        <f t="shared" si="0"/>
        <v>20846.75</v>
      </c>
      <c r="V5" s="108">
        <f t="shared" si="0"/>
        <v>18119.25</v>
      </c>
      <c r="W5" s="108">
        <f t="shared" si="0"/>
        <v>17677.88</v>
      </c>
      <c r="X5" s="109">
        <f t="shared" si="0"/>
        <v>17780</v>
      </c>
      <c r="Y5" s="107">
        <f t="shared" si="0"/>
        <v>16920.75</v>
      </c>
      <c r="Z5" s="108">
        <f t="shared" si="0"/>
        <v>16691</v>
      </c>
      <c r="AA5" s="108">
        <f t="shared" si="0"/>
        <v>16158.18</v>
      </c>
      <c r="AB5" s="109">
        <f t="shared" si="0"/>
        <v>21118.5</v>
      </c>
      <c r="AC5" s="107">
        <f t="shared" si="0"/>
        <v>21242.14</v>
      </c>
      <c r="AD5" s="108">
        <f t="shared" si="0"/>
        <v>15279.25</v>
      </c>
      <c r="AE5" s="108">
        <f t="shared" si="0"/>
        <v>16031.25</v>
      </c>
      <c r="AF5" s="109">
        <f t="shared" si="0"/>
        <v>15397.88</v>
      </c>
      <c r="AG5" s="107">
        <f t="shared" si="0"/>
        <v>11131.26</v>
      </c>
      <c r="AH5" s="108">
        <f t="shared" si="0"/>
        <v>16859.13</v>
      </c>
      <c r="AI5" s="108">
        <f t="shared" si="0"/>
        <v>17248.38</v>
      </c>
      <c r="AJ5" s="109">
        <f t="shared" si="0"/>
        <v>21196.880000000001</v>
      </c>
      <c r="AK5" s="107">
        <f t="shared" si="0"/>
        <v>15449.130000000001</v>
      </c>
      <c r="AL5" s="108">
        <f t="shared" si="0"/>
        <v>19381</v>
      </c>
      <c r="AM5" s="108">
        <f t="shared" si="0"/>
        <v>20284.75</v>
      </c>
      <c r="AN5" s="109">
        <f t="shared" si="0"/>
        <v>35510.879999999997</v>
      </c>
      <c r="AO5" s="107">
        <f t="shared" si="0"/>
        <v>18021.030000000002</v>
      </c>
      <c r="AP5" s="108">
        <f t="shared" si="0"/>
        <v>19489</v>
      </c>
      <c r="AQ5" s="108">
        <f t="shared" si="0"/>
        <v>18279.88</v>
      </c>
      <c r="AR5" s="109">
        <f t="shared" si="0"/>
        <v>17855.75</v>
      </c>
      <c r="AS5" s="107">
        <f t="shared" si="0"/>
        <v>17006.25</v>
      </c>
      <c r="AT5" s="108">
        <f t="shared" si="0"/>
        <v>17533.88</v>
      </c>
      <c r="AU5" s="108">
        <f t="shared" si="0"/>
        <v>17975.5</v>
      </c>
      <c r="AV5" s="109">
        <f t="shared" si="0"/>
        <v>18974.25</v>
      </c>
      <c r="AW5" s="107">
        <f t="shared" si="0"/>
        <v>25485.38</v>
      </c>
      <c r="AX5" s="107">
        <f t="shared" si="0"/>
        <v>18135.5</v>
      </c>
      <c r="AY5" s="108">
        <f t="shared" si="0"/>
        <v>9515.75</v>
      </c>
      <c r="AZ5" s="109">
        <f t="shared" si="0"/>
        <v>13676.25</v>
      </c>
      <c r="BA5" s="107">
        <f t="shared" si="0"/>
        <v>21128.510000000002</v>
      </c>
      <c r="BB5" s="108">
        <f t="shared" si="0"/>
        <v>17722.63</v>
      </c>
      <c r="BC5" s="108">
        <f t="shared" si="0"/>
        <v>12723</v>
      </c>
      <c r="BD5" s="109">
        <f t="shared" si="0"/>
        <v>11932</v>
      </c>
      <c r="BF5" s="135">
        <f>SUM(AS5:BD5)</f>
        <v>201808.90000000002</v>
      </c>
    </row>
    <row r="6" spans="1:58" s="67" customFormat="1" ht="14.45" x14ac:dyDescent="0.35"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BF6" s="126">
        <f>+BF4/BF5</f>
        <v>0.61336633940489227</v>
      </c>
    </row>
    <row r="7" spans="1:58" s="69" customFormat="1" ht="14.45" x14ac:dyDescent="0.35">
      <c r="A7" s="69" t="s">
        <v>115</v>
      </c>
      <c r="B7" s="71">
        <v>185569.75</v>
      </c>
      <c r="C7" s="71">
        <v>198984.75</v>
      </c>
      <c r="D7" s="71">
        <v>209187.5</v>
      </c>
      <c r="E7" s="71">
        <v>61039</v>
      </c>
      <c r="F7" s="71">
        <v>60842</v>
      </c>
      <c r="G7" s="71">
        <v>55837</v>
      </c>
      <c r="H7" s="71">
        <f>121880+55836.55</f>
        <v>177716.55</v>
      </c>
      <c r="I7" s="72">
        <v>10879</v>
      </c>
      <c r="J7" s="72">
        <v>14419.75</v>
      </c>
      <c r="K7" s="72">
        <v>14959</v>
      </c>
      <c r="L7" s="72">
        <f>14960.25+6793.25</f>
        <v>21753.5</v>
      </c>
      <c r="M7" s="73">
        <v>8139</v>
      </c>
      <c r="N7" s="73">
        <v>15343.5</v>
      </c>
      <c r="O7" s="73">
        <v>15953.25</v>
      </c>
      <c r="P7" s="73">
        <f>16102.5+7466.75</f>
        <v>23569.25</v>
      </c>
      <c r="Q7" s="73">
        <v>8198.25</v>
      </c>
      <c r="R7" s="73">
        <v>16211</v>
      </c>
      <c r="S7" s="73">
        <v>15717.75</v>
      </c>
      <c r="T7" s="73">
        <v>31773.25</v>
      </c>
      <c r="U7" s="71">
        <f>590.75+16065.75</f>
        <v>16656.5</v>
      </c>
      <c r="V7" s="71">
        <v>15628.5</v>
      </c>
      <c r="W7" s="71">
        <v>15377.25</v>
      </c>
      <c r="X7" s="71">
        <v>15047</v>
      </c>
      <c r="Y7" s="71">
        <f>15031.5</f>
        <v>15031.5</v>
      </c>
      <c r="Z7" s="71">
        <v>14695.25</v>
      </c>
      <c r="AA7" s="71">
        <v>13848.63</v>
      </c>
      <c r="AB7" s="71">
        <f>13423+6463.25</f>
        <v>19886.25</v>
      </c>
      <c r="AC7" s="71">
        <f>5015.75+13405.18</f>
        <v>18420.93</v>
      </c>
      <c r="AD7" s="71">
        <v>13252.75</v>
      </c>
      <c r="AE7" s="71">
        <v>13314</v>
      </c>
      <c r="AF7" s="71">
        <v>12901.5</v>
      </c>
      <c r="AG7" s="71">
        <f>489.5+10485</f>
        <v>10974.5</v>
      </c>
      <c r="AH7" s="71">
        <v>13178.5</v>
      </c>
      <c r="AI7" s="71">
        <v>13290.25</v>
      </c>
      <c r="AJ7" s="71">
        <v>16599</v>
      </c>
      <c r="AK7" s="71">
        <v>10942</v>
      </c>
      <c r="AL7" s="71">
        <v>14361.25</v>
      </c>
      <c r="AM7" s="71">
        <v>14176</v>
      </c>
      <c r="AN7" s="71">
        <f>14402.75+13411.25</f>
        <v>27814</v>
      </c>
      <c r="AO7" s="71">
        <f>1030.25+13298</f>
        <v>14328.25</v>
      </c>
      <c r="AP7" s="71">
        <v>14617</v>
      </c>
      <c r="AQ7" s="71">
        <v>14195.75</v>
      </c>
      <c r="AR7" s="71">
        <v>13916</v>
      </c>
      <c r="AS7" s="71">
        <v>14375.25</v>
      </c>
      <c r="AT7" s="71">
        <v>14324.25</v>
      </c>
      <c r="AU7" s="71">
        <v>14137.75</v>
      </c>
      <c r="AV7" s="71">
        <f>11295.75+6542.25</f>
        <v>17838</v>
      </c>
      <c r="AW7" s="71">
        <f>7398+13834.5</f>
        <v>21232.5</v>
      </c>
      <c r="AX7" s="71">
        <v>14027.75</v>
      </c>
      <c r="AY7" s="71">
        <v>9407.75</v>
      </c>
      <c r="AZ7" s="71">
        <v>12816.75</v>
      </c>
      <c r="BA7" s="71">
        <f>911+14065.25</f>
        <v>14976.25</v>
      </c>
      <c r="BB7" s="71">
        <v>14075</v>
      </c>
      <c r="BC7" s="71">
        <v>12057.75</v>
      </c>
      <c r="BD7" s="71">
        <v>11298.25</v>
      </c>
    </row>
    <row r="8" spans="1:58" s="69" customFormat="1" ht="14.45" x14ac:dyDescent="0.35">
      <c r="A8" s="69" t="s">
        <v>116</v>
      </c>
      <c r="B8" s="71">
        <v>17090.25</v>
      </c>
      <c r="C8" s="71">
        <v>34540.75</v>
      </c>
      <c r="D8" s="71">
        <v>36454</v>
      </c>
      <c r="E8" s="71">
        <v>7321</v>
      </c>
      <c r="F8" s="71">
        <v>6706</v>
      </c>
      <c r="G8" s="71">
        <v>5807</v>
      </c>
      <c r="H8" s="71">
        <f>14027+5806.7</f>
        <v>19833.7</v>
      </c>
      <c r="I8" s="73">
        <v>342.5</v>
      </c>
      <c r="J8" s="73">
        <v>2149.25</v>
      </c>
      <c r="K8" s="73">
        <v>2198.75</v>
      </c>
      <c r="L8" s="73">
        <v>1771.25</v>
      </c>
      <c r="M8" s="73">
        <v>3191.25</v>
      </c>
      <c r="N8" s="73">
        <v>2464</v>
      </c>
      <c r="O8" s="73">
        <v>2820</v>
      </c>
      <c r="P8" s="73">
        <v>2858.75</v>
      </c>
      <c r="Q8" s="73">
        <v>2882.75</v>
      </c>
      <c r="R8" s="73">
        <v>2800.5</v>
      </c>
      <c r="S8" s="73">
        <v>2770.25</v>
      </c>
      <c r="T8" s="73">
        <v>5133.5</v>
      </c>
      <c r="U8" s="71">
        <f>392+2401.5</f>
        <v>2793.5</v>
      </c>
      <c r="V8" s="71">
        <v>1660.5</v>
      </c>
      <c r="W8" s="71">
        <v>1533.75</v>
      </c>
      <c r="X8" s="71">
        <v>1822</v>
      </c>
      <c r="Y8" s="71">
        <v>1259.5</v>
      </c>
      <c r="Z8" s="71">
        <v>1330.5</v>
      </c>
      <c r="AA8" s="71">
        <v>1539.7</v>
      </c>
      <c r="AB8" s="71">
        <v>821.5</v>
      </c>
      <c r="AC8" s="71">
        <f>436.75+1444.05</f>
        <v>1880.8</v>
      </c>
      <c r="AD8" s="71">
        <v>1351</v>
      </c>
      <c r="AE8" s="71">
        <v>1811.5</v>
      </c>
      <c r="AF8" s="71">
        <v>1664.25</v>
      </c>
      <c r="AG8" s="71">
        <f>43.25+61.25</f>
        <v>104.5</v>
      </c>
      <c r="AH8" s="71">
        <v>2453.75</v>
      </c>
      <c r="AI8" s="71">
        <v>2638.75</v>
      </c>
      <c r="AJ8" s="71">
        <v>3065.25</v>
      </c>
      <c r="AK8" s="71">
        <v>3004.75</v>
      </c>
      <c r="AL8" s="71">
        <v>3346.5</v>
      </c>
      <c r="AM8" s="71">
        <v>4072.5</v>
      </c>
      <c r="AN8" s="71">
        <f>4049.25+1082</f>
        <v>5131.25</v>
      </c>
      <c r="AO8" s="71">
        <f>1646.75+815.4</f>
        <v>2462.15</v>
      </c>
      <c r="AP8" s="71">
        <v>3248</v>
      </c>
      <c r="AQ8" s="71">
        <v>2722.75</v>
      </c>
      <c r="AR8" s="71">
        <v>2626.5</v>
      </c>
      <c r="AS8" s="71">
        <v>1754</v>
      </c>
      <c r="AT8" s="71">
        <v>2139.75</v>
      </c>
      <c r="AU8" s="71">
        <v>2558.5</v>
      </c>
      <c r="AV8" s="71">
        <f>757.5</f>
        <v>757.5</v>
      </c>
      <c r="AW8" s="71">
        <f>1311.5+1523.75</f>
        <v>2835.25</v>
      </c>
      <c r="AX8" s="71">
        <v>2738.5</v>
      </c>
      <c r="AY8" s="71">
        <v>72</v>
      </c>
      <c r="AZ8" s="71">
        <v>573</v>
      </c>
      <c r="BA8" s="71">
        <f>1863.25+2238.25</f>
        <v>4101.5</v>
      </c>
      <c r="BB8" s="71">
        <v>2431.75</v>
      </c>
      <c r="BC8" s="71">
        <v>443.5</v>
      </c>
      <c r="BD8" s="71">
        <v>422.5</v>
      </c>
    </row>
    <row r="9" spans="1:58" s="69" customFormat="1" ht="14.45" x14ac:dyDescent="0.35">
      <c r="A9" s="69" t="s">
        <v>119</v>
      </c>
      <c r="B9" s="71">
        <v>8545.125</v>
      </c>
      <c r="C9" s="71">
        <v>17270.375</v>
      </c>
      <c r="D9" s="71">
        <v>18227</v>
      </c>
      <c r="E9" s="71">
        <v>3661</v>
      </c>
      <c r="F9" s="71">
        <v>3353</v>
      </c>
      <c r="G9" s="71">
        <v>2903</v>
      </c>
      <c r="H9" s="71">
        <f>7013.5+2903.35</f>
        <v>9916.85</v>
      </c>
      <c r="I9" s="73">
        <v>171.25</v>
      </c>
      <c r="J9" s="73">
        <v>1074.6300000000001</v>
      </c>
      <c r="K9" s="73">
        <v>1099.3800000000001</v>
      </c>
      <c r="L9" s="73">
        <v>885.63</v>
      </c>
      <c r="M9" s="73">
        <v>1595.63</v>
      </c>
      <c r="N9" s="73">
        <v>1232</v>
      </c>
      <c r="O9" s="73">
        <v>1410</v>
      </c>
      <c r="P9" s="73">
        <v>1429.38</v>
      </c>
      <c r="Q9" s="73">
        <v>1441.38</v>
      </c>
      <c r="R9" s="73">
        <v>1400.25</v>
      </c>
      <c r="S9" s="73">
        <v>1385.13</v>
      </c>
      <c r="T9" s="73">
        <v>2566.75</v>
      </c>
      <c r="U9" s="71">
        <f>196+1200.75</f>
        <v>1396.75</v>
      </c>
      <c r="V9" s="71">
        <v>830.25</v>
      </c>
      <c r="W9" s="71">
        <v>766.88</v>
      </c>
      <c r="X9" s="71">
        <v>911</v>
      </c>
      <c r="Y9" s="71">
        <v>629.75</v>
      </c>
      <c r="Z9" s="71">
        <v>665.25</v>
      </c>
      <c r="AA9" s="71">
        <v>769.85</v>
      </c>
      <c r="AB9" s="71">
        <v>410.75</v>
      </c>
      <c r="AC9" s="71">
        <f>218.38+722.03</f>
        <v>940.41</v>
      </c>
      <c r="AD9" s="71">
        <v>675.5</v>
      </c>
      <c r="AE9" s="71">
        <v>905.75</v>
      </c>
      <c r="AF9" s="71">
        <v>832.13</v>
      </c>
      <c r="AG9" s="71">
        <f>21.63+30.63</f>
        <v>52.26</v>
      </c>
      <c r="AH9" s="71">
        <v>1226.8800000000001</v>
      </c>
      <c r="AI9" s="71">
        <v>1319.38</v>
      </c>
      <c r="AJ9" s="71">
        <v>1532.63</v>
      </c>
      <c r="AK9" s="71">
        <v>1502.38</v>
      </c>
      <c r="AL9" s="71">
        <v>1673.25</v>
      </c>
      <c r="AM9" s="71">
        <v>2036.25</v>
      </c>
      <c r="AN9" s="71">
        <f>2024.63+541</f>
        <v>2565.63</v>
      </c>
      <c r="AO9" s="71">
        <f>823.38+407.25</f>
        <v>1230.6300000000001</v>
      </c>
      <c r="AP9" s="71">
        <v>1624</v>
      </c>
      <c r="AQ9" s="71">
        <v>1361.38</v>
      </c>
      <c r="AR9" s="71">
        <v>1313.25</v>
      </c>
      <c r="AS9" s="71">
        <v>877</v>
      </c>
      <c r="AT9" s="71">
        <v>1069.8800000000001</v>
      </c>
      <c r="AU9" s="71">
        <v>1279.25</v>
      </c>
      <c r="AV9" s="71">
        <f>378.75</f>
        <v>378.75</v>
      </c>
      <c r="AW9" s="71">
        <f>655.75+761.88</f>
        <v>1417.63</v>
      </c>
      <c r="AX9" s="71">
        <v>1369.25</v>
      </c>
      <c r="AY9" s="71">
        <v>36</v>
      </c>
      <c r="AZ9" s="71">
        <v>286.5</v>
      </c>
      <c r="BA9" s="71">
        <f>931.63+1119.13</f>
        <v>2050.7600000000002</v>
      </c>
      <c r="BB9" s="71">
        <v>1215.8800000000001</v>
      </c>
      <c r="BC9" s="71">
        <v>221.75</v>
      </c>
      <c r="BD9" s="71">
        <v>211.25</v>
      </c>
    </row>
    <row r="10" spans="1:58" s="67" customFormat="1" thickBot="1" x14ac:dyDescent="0.4">
      <c r="B10" s="70"/>
      <c r="C10" s="70"/>
      <c r="D10" s="70"/>
      <c r="E10" s="70"/>
      <c r="F10" s="70"/>
      <c r="G10" s="70"/>
      <c r="H10" s="122"/>
      <c r="I10" s="70"/>
      <c r="J10" s="70"/>
      <c r="K10" s="70"/>
      <c r="L10" s="70"/>
      <c r="M10" s="70"/>
      <c r="N10" s="70"/>
      <c r="O10" s="70"/>
      <c r="P10" s="70"/>
    </row>
    <row r="11" spans="1:58" s="66" customFormat="1" ht="14.45" customHeight="1" thickBot="1" x14ac:dyDescent="0.4">
      <c r="A11" s="66" t="s">
        <v>208</v>
      </c>
      <c r="B11" s="159">
        <v>2016</v>
      </c>
      <c r="C11" s="160"/>
      <c r="D11" s="160"/>
      <c r="E11" s="161"/>
      <c r="F11" s="161"/>
      <c r="G11" s="161"/>
      <c r="H11" s="162"/>
      <c r="I11" s="153">
        <f>I2</f>
        <v>42751</v>
      </c>
      <c r="J11" s="151"/>
      <c r="K11" s="151"/>
      <c r="L11" s="152"/>
      <c r="M11" s="153">
        <f>M2</f>
        <v>42782</v>
      </c>
      <c r="N11" s="151"/>
      <c r="O11" s="151"/>
      <c r="P11" s="152"/>
      <c r="Q11" s="153">
        <f>Q2</f>
        <v>42810</v>
      </c>
      <c r="R11" s="151"/>
      <c r="S11" s="151"/>
      <c r="T11" s="152"/>
      <c r="U11" s="147">
        <f>U2</f>
        <v>42841</v>
      </c>
      <c r="V11" s="148"/>
      <c r="W11" s="148"/>
      <c r="X11" s="149"/>
      <c r="Y11" s="150">
        <f>Y2</f>
        <v>42871</v>
      </c>
      <c r="Z11" s="151"/>
      <c r="AA11" s="151"/>
      <c r="AB11" s="152"/>
      <c r="AC11" s="147">
        <f>AC2</f>
        <v>42902</v>
      </c>
      <c r="AD11" s="148"/>
      <c r="AE11" s="148"/>
      <c r="AF11" s="149"/>
      <c r="AG11" s="147">
        <f>AG2</f>
        <v>42932</v>
      </c>
      <c r="AH11" s="148"/>
      <c r="AI11" s="148"/>
      <c r="AJ11" s="149"/>
      <c r="AK11" s="147">
        <f>AK2</f>
        <v>42963</v>
      </c>
      <c r="AL11" s="148"/>
      <c r="AM11" s="148"/>
      <c r="AN11" s="149"/>
      <c r="AO11" s="147">
        <f>AO2</f>
        <v>42994</v>
      </c>
      <c r="AP11" s="148"/>
      <c r="AQ11" s="148"/>
      <c r="AR11" s="149"/>
      <c r="AS11" s="147">
        <f>AS2</f>
        <v>43024</v>
      </c>
      <c r="AT11" s="148"/>
      <c r="AU11" s="148"/>
      <c r="AV11" s="149"/>
      <c r="AW11" s="147">
        <f>AW2</f>
        <v>43055</v>
      </c>
      <c r="AX11" s="148"/>
      <c r="AY11" s="148"/>
      <c r="AZ11" s="149"/>
      <c r="BA11" s="147">
        <f>BA2</f>
        <v>43085</v>
      </c>
      <c r="BB11" s="148"/>
      <c r="BC11" s="148"/>
      <c r="BD11" s="149"/>
    </row>
    <row r="12" spans="1:58" s="105" customFormat="1" ht="14.45" x14ac:dyDescent="0.35">
      <c r="A12" s="106" t="s">
        <v>120</v>
      </c>
      <c r="B12" s="112" t="s">
        <v>121</v>
      </c>
      <c r="C12" s="113" t="s">
        <v>122</v>
      </c>
      <c r="D12" s="113" t="s">
        <v>123</v>
      </c>
      <c r="E12" s="116" t="s">
        <v>61</v>
      </c>
      <c r="F12" s="116" t="s">
        <v>62</v>
      </c>
      <c r="G12" s="116" t="s">
        <v>63</v>
      </c>
      <c r="H12" s="114" t="s">
        <v>124</v>
      </c>
      <c r="I12" s="112" t="s">
        <v>125</v>
      </c>
      <c r="J12" s="113" t="s">
        <v>126</v>
      </c>
      <c r="K12" s="113" t="s">
        <v>127</v>
      </c>
      <c r="L12" s="114" t="s">
        <v>128</v>
      </c>
      <c r="M12" s="112" t="s">
        <v>129</v>
      </c>
      <c r="N12" s="113" t="s">
        <v>130</v>
      </c>
      <c r="O12" s="113" t="s">
        <v>131</v>
      </c>
      <c r="P12" s="114" t="s">
        <v>132</v>
      </c>
      <c r="Q12" s="112" t="s">
        <v>133</v>
      </c>
      <c r="R12" s="113" t="s">
        <v>134</v>
      </c>
      <c r="S12" s="113" t="s">
        <v>135</v>
      </c>
      <c r="T12" s="114" t="s">
        <v>136</v>
      </c>
      <c r="U12" s="112" t="s">
        <v>137</v>
      </c>
      <c r="V12" s="113" t="s">
        <v>138</v>
      </c>
      <c r="W12" s="113" t="s">
        <v>139</v>
      </c>
      <c r="X12" s="114" t="s">
        <v>140</v>
      </c>
      <c r="Y12" s="112" t="s">
        <v>169</v>
      </c>
      <c r="Z12" s="113" t="s">
        <v>170</v>
      </c>
      <c r="AA12" s="113" t="s">
        <v>171</v>
      </c>
      <c r="AB12" s="114" t="s">
        <v>172</v>
      </c>
      <c r="AC12" s="118" t="s">
        <v>173</v>
      </c>
      <c r="AD12" s="119" t="s">
        <v>174</v>
      </c>
      <c r="AE12" s="119" t="s">
        <v>175</v>
      </c>
      <c r="AF12" s="114" t="s">
        <v>176</v>
      </c>
      <c r="AG12" s="112" t="s">
        <v>177</v>
      </c>
      <c r="AH12" s="113" t="s">
        <v>178</v>
      </c>
      <c r="AI12" s="113" t="s">
        <v>179</v>
      </c>
      <c r="AJ12" s="114" t="s">
        <v>180</v>
      </c>
      <c r="AK12" s="112" t="s">
        <v>181</v>
      </c>
      <c r="AL12" s="113" t="s">
        <v>182</v>
      </c>
      <c r="AM12" s="113" t="s">
        <v>183</v>
      </c>
      <c r="AN12" s="114" t="s">
        <v>184</v>
      </c>
      <c r="AO12" s="115" t="s">
        <v>185</v>
      </c>
      <c r="AP12" s="113" t="s">
        <v>186</v>
      </c>
      <c r="AQ12" s="113" t="s">
        <v>187</v>
      </c>
      <c r="AR12" s="114" t="s">
        <v>188</v>
      </c>
      <c r="AS12" s="112" t="s">
        <v>189</v>
      </c>
      <c r="AT12" s="113" t="s">
        <v>190</v>
      </c>
      <c r="AU12" s="113" t="s">
        <v>191</v>
      </c>
      <c r="AV12" s="117" t="s">
        <v>192</v>
      </c>
      <c r="AW12" s="115" t="s">
        <v>193</v>
      </c>
      <c r="AX12" s="113" t="s">
        <v>194</v>
      </c>
      <c r="AY12" s="116" t="s">
        <v>195</v>
      </c>
      <c r="AZ12" s="114" t="s">
        <v>196</v>
      </c>
      <c r="BA12" s="115" t="s">
        <v>197</v>
      </c>
      <c r="BB12" s="113" t="s">
        <v>198</v>
      </c>
      <c r="BC12" s="113" t="s">
        <v>199</v>
      </c>
      <c r="BD12" s="114" t="s">
        <v>200</v>
      </c>
    </row>
    <row r="13" spans="1:58" s="67" customFormat="1" ht="14.45" x14ac:dyDescent="0.35">
      <c r="A13" s="67" t="s">
        <v>104</v>
      </c>
      <c r="B13" s="86">
        <f t="shared" ref="B13:BD13" si="1">B4/B5</f>
        <v>0.59440044364453748</v>
      </c>
      <c r="C13" s="83">
        <f t="shared" si="1"/>
        <v>0.63382832751934215</v>
      </c>
      <c r="D13" s="83">
        <f t="shared" si="1"/>
        <v>0.60182924449110065</v>
      </c>
      <c r="E13" s="83">
        <f t="shared" si="1"/>
        <v>0.53088256310625515</v>
      </c>
      <c r="F13" s="83">
        <f t="shared" si="1"/>
        <v>0.62390884588984286</v>
      </c>
      <c r="G13" s="83">
        <f t="shared" si="1"/>
        <v>0.65895489323115697</v>
      </c>
      <c r="H13" s="87">
        <f t="shared" si="1"/>
        <v>0.60252454485554574</v>
      </c>
      <c r="I13" s="86">
        <f>I4/I5</f>
        <v>0.51065984946566889</v>
      </c>
      <c r="J13" s="83">
        <f t="shared" si="1"/>
        <v>0.62872584670338982</v>
      </c>
      <c r="K13" s="83">
        <f t="shared" si="1"/>
        <v>0.61029417000371899</v>
      </c>
      <c r="L13" s="87">
        <f t="shared" si="1"/>
        <v>0.62359168517655195</v>
      </c>
      <c r="M13" s="86">
        <f t="shared" si="1"/>
        <v>0.57764279031766463</v>
      </c>
      <c r="N13" s="83">
        <f t="shared" si="1"/>
        <v>0.65943746533974268</v>
      </c>
      <c r="O13" s="83">
        <f t="shared" si="1"/>
        <v>0.64076620470710077</v>
      </c>
      <c r="P13" s="87">
        <f t="shared" si="1"/>
        <v>0.64186279016239989</v>
      </c>
      <c r="Q13" s="87">
        <f t="shared" si="1"/>
        <v>0.62228333592408624</v>
      </c>
      <c r="R13" s="87">
        <f t="shared" si="1"/>
        <v>0.59800470126617622</v>
      </c>
      <c r="S13" s="87">
        <f t="shared" si="1"/>
        <v>0.60042980048314787</v>
      </c>
      <c r="T13" s="87">
        <f t="shared" si="1"/>
        <v>0.61131236302413428</v>
      </c>
      <c r="U13" s="86">
        <f t="shared" si="1"/>
        <v>0.60242053801836037</v>
      </c>
      <c r="V13" s="83">
        <f t="shared" si="1"/>
        <v>0.62071321885643438</v>
      </c>
      <c r="W13" s="83">
        <f t="shared" si="1"/>
        <v>0.63616602794233745</v>
      </c>
      <c r="X13" s="87">
        <f t="shared" si="1"/>
        <v>0.59081267135261273</v>
      </c>
      <c r="Y13" s="87">
        <f t="shared" si="1"/>
        <v>0.60287955265481274</v>
      </c>
      <c r="Z13" s="87">
        <f t="shared" si="1"/>
        <v>0.62858306396287933</v>
      </c>
      <c r="AA13" s="87">
        <f t="shared" si="1"/>
        <v>0.64993845717981313</v>
      </c>
      <c r="AB13" s="87">
        <f t="shared" si="1"/>
        <v>0.70181580418900957</v>
      </c>
      <c r="AC13" s="87">
        <f t="shared" si="1"/>
        <v>0.61995585381328633</v>
      </c>
      <c r="AD13" s="87">
        <f t="shared" si="1"/>
        <v>0.64548360298768204</v>
      </c>
      <c r="AE13" s="87">
        <f t="shared" si="1"/>
        <v>0.61173427213748177</v>
      </c>
      <c r="AF13" s="87">
        <f t="shared" si="1"/>
        <v>0.72822690010694791</v>
      </c>
      <c r="AG13" s="87">
        <f t="shared" si="1"/>
        <v>0.59191095619471157</v>
      </c>
      <c r="AH13" s="87">
        <f t="shared" si="1"/>
        <v>0.63780487430456878</v>
      </c>
      <c r="AI13" s="87">
        <f t="shared" si="1"/>
        <v>0.59781871459998348</v>
      </c>
      <c r="AJ13" s="87">
        <f t="shared" si="1"/>
        <v>0.64602210368176749</v>
      </c>
      <c r="AK13" s="86">
        <f t="shared" si="1"/>
        <v>0.60609822837337735</v>
      </c>
      <c r="AL13" s="83">
        <f t="shared" si="1"/>
        <v>0.6681610211527621</v>
      </c>
      <c r="AM13" s="83">
        <f t="shared" si="1"/>
        <v>0.59827607443535535</v>
      </c>
      <c r="AN13" s="87">
        <f t="shared" si="1"/>
        <v>0.67628511687585702</v>
      </c>
      <c r="AO13" s="85">
        <f t="shared" si="1"/>
        <v>0.62372457685140514</v>
      </c>
      <c r="AP13" s="83">
        <f t="shared" si="1"/>
        <v>0.61598087644877497</v>
      </c>
      <c r="AQ13" s="83">
        <f t="shared" si="1"/>
        <v>0.65008476974830409</v>
      </c>
      <c r="AR13" s="84">
        <f t="shared" si="1"/>
        <v>0.59937601001031926</v>
      </c>
      <c r="AS13" s="86">
        <f t="shared" si="1"/>
        <v>0.56780387566898805</v>
      </c>
      <c r="AT13" s="83">
        <f t="shared" si="1"/>
        <v>0.59548926539531188</v>
      </c>
      <c r="AU13" s="83">
        <f t="shared" si="1"/>
        <v>0.63991704779703928</v>
      </c>
      <c r="AV13" s="83">
        <f t="shared" si="1"/>
        <v>0.49938861884281743</v>
      </c>
      <c r="AW13" s="85">
        <f t="shared" si="1"/>
        <v>0.57635282310547598</v>
      </c>
      <c r="AX13" s="83">
        <f t="shared" si="1"/>
        <v>0.58677348102957472</v>
      </c>
      <c r="AY13" s="84">
        <f t="shared" si="1"/>
        <v>0.7698054898919614</v>
      </c>
      <c r="AZ13" s="87">
        <f t="shared" si="1"/>
        <v>0.66704492172061447</v>
      </c>
      <c r="BA13" s="85">
        <f t="shared" si="1"/>
        <v>0.54749341056231593</v>
      </c>
      <c r="BB13" s="83">
        <f t="shared" si="1"/>
        <v>0.63247723390941413</v>
      </c>
      <c r="BC13" s="83">
        <f t="shared" si="1"/>
        <v>0.79490057376404943</v>
      </c>
      <c r="BD13" s="87">
        <f t="shared" si="1"/>
        <v>0.67370348642306399</v>
      </c>
    </row>
    <row r="14" spans="1:58" s="67" customFormat="1" ht="14.45" x14ac:dyDescent="0.35">
      <c r="A14" s="67" t="s">
        <v>114</v>
      </c>
      <c r="B14" s="83">
        <f>(B4/B5)/B15-1</f>
        <v>-1.3483436119529402E-2</v>
      </c>
      <c r="C14" s="83">
        <f>(SUM($B4:C4)/SUM($B5:C5))/C15-1</f>
        <v>2.2039282763437917E-2</v>
      </c>
      <c r="D14" s="83">
        <f>(SUM($B4:D4)/SUM($B5:D5))/D15-1</f>
        <v>1.3608055033045297E-2</v>
      </c>
      <c r="E14" s="83">
        <f>(SUM($B4:E4)/SUM($B5:E5))/E15-1</f>
        <v>1.6470411008024932E-3</v>
      </c>
      <c r="F14" s="83">
        <f>(SUM($B4:F4)/SUM($B5:F5))/F15-1</f>
        <v>4.4090186076712889E-3</v>
      </c>
      <c r="G14" s="83">
        <f>(SUM($B4:G4)/SUM($B5:G5))/G15-1</f>
        <v>1.0581118092383601E-2</v>
      </c>
      <c r="H14" s="83">
        <f>(SUM($B4:$G4)/SUM($B5:G5))/H15-1</f>
        <v>1.0581118092383601E-2</v>
      </c>
      <c r="I14" s="83">
        <f>(SUM($I4:I4)/SUM($I5:I5))/I15-1</f>
        <v>-0.15246631224276719</v>
      </c>
      <c r="J14" s="83">
        <f>(SUM($I4:J4)/SUM($I5:J5))/J15-1</f>
        <v>-3.3398172987740393E-2</v>
      </c>
      <c r="K14" s="83">
        <f>(SUM($I4:K4)/SUM($I5:K5))/K15-1</f>
        <v>-1.5527166309756257E-2</v>
      </c>
      <c r="L14" s="87">
        <f>(SUM($I4:L4)/SUM($I5:L5))/L15-1</f>
        <v>1.6619664429302627E-3</v>
      </c>
      <c r="M14" s="86">
        <f>(SUM($I4:M4)/SUM($I5:M5))/M15-1</f>
        <v>-4.8991691246754732E-3</v>
      </c>
      <c r="N14" s="83">
        <f>(SUM($I4:N4)/SUM($I5:N5))/N15-1</f>
        <v>1.334828244641284E-2</v>
      </c>
      <c r="O14" s="83">
        <f>(SUM($I4:O4)/SUM($I5:O5))/O15-1</f>
        <v>2.1516061036800815E-2</v>
      </c>
      <c r="P14" s="87">
        <f>(SUM($I4:P4)/SUM($I5:P5))/P15-1</f>
        <v>2.955377204228582E-2</v>
      </c>
      <c r="Q14" s="86">
        <f>(SUM($I4:Q4)/SUM($I5:Q5))/Q15-1</f>
        <v>2.9800782412511717E-2</v>
      </c>
      <c r="R14" s="83">
        <f>(SUM($I4:R4)/SUM($I5:R5))/R15-1</f>
        <v>2.5677144856077527E-2</v>
      </c>
      <c r="S14" s="83">
        <f>(SUM($I4:S4)/SUM($I5:S5))/S15-1</f>
        <v>2.2844246090046871E-2</v>
      </c>
      <c r="T14" s="87">
        <f>(SUM($I4:T4)/SUM($I5:T5))/T15-1</f>
        <v>2.1508041243499365E-2</v>
      </c>
      <c r="U14" s="86">
        <f>(SUM($I4:U4)/SUM($I5:U5))/U15-1</f>
        <v>1.9801442119464552E-2</v>
      </c>
      <c r="V14" s="86">
        <f>(SUM($I4:V4)/SUM($I5:V5))/V15-1</f>
        <v>2.0466513956846955E-2</v>
      </c>
      <c r="W14" s="86">
        <f>(SUM($I4:W4)/SUM($I5:W5))/W15-1</f>
        <v>2.2546201538198973E-2</v>
      </c>
      <c r="X14" s="120">
        <f>(SUM($I4:X4)/SUM($I5:X5))/X15-1</f>
        <v>2.0201838920012927E-2</v>
      </c>
      <c r="Y14" s="120">
        <f>(SUM($I4:Y4)/SUM($I5:Y5))/Y15-1</f>
        <v>1.9212200905685428E-2</v>
      </c>
      <c r="Z14" s="120">
        <f>(SUM($I4:Z4)/SUM($I5:Z5))/Z15-1</f>
        <v>2.035187832841534E-2</v>
      </c>
      <c r="AA14" s="120">
        <f>(SUM($I4:AA4)/SUM($I5:AA5))/AA15-1</f>
        <v>2.291220237088365E-2</v>
      </c>
      <c r="AB14" s="120">
        <f>(SUM($I4:AB4)/SUM($I5:AB5))/AB15-1</f>
        <v>3.0608752224523972E-2</v>
      </c>
      <c r="AC14" s="120">
        <f>(SUM($I4:AC4)/SUM($I5:AC5))/AC15-1</f>
        <v>3.0521914911443515E-2</v>
      </c>
      <c r="AD14" s="120">
        <f>(SUM($I4:AD4)/SUM($I5:AD5))/AD15-1</f>
        <v>3.1985040860380343E-2</v>
      </c>
      <c r="AE14" s="120">
        <f>(SUM($I4:AE4)/SUM($I5:AE5))/AE15-1</f>
        <v>3.1379144252286828E-2</v>
      </c>
      <c r="AF14" s="120">
        <f>(SUM($I4:AF4)/SUM($I5:AF5))/AF15-1</f>
        <v>3.7347885120149416E-2</v>
      </c>
      <c r="AG14" s="120">
        <f>(SUM($I4:AG4)/SUM($I5:AG5))/AG15-1</f>
        <v>3.6041676155325941E-2</v>
      </c>
      <c r="AH14" s="120">
        <f>(SUM($I4:AH4)/SUM($I5:AH5))/AH15-1</f>
        <v>3.6823842012275509E-2</v>
      </c>
      <c r="AI14" s="120">
        <f>(SUM($I4:AI4)/SUM($I5:AI5))/AI15-1</f>
        <v>3.5291749321415544E-2</v>
      </c>
      <c r="AJ14" s="120">
        <f>(SUM($I4:AJ4)/SUM($I5:AJ5))/AJ15-1</f>
        <v>3.6785333751665927E-2</v>
      </c>
      <c r="AK14" s="120">
        <f>(SUM($I4:AK4)/SUM($I5:AK5))/AK15-1</f>
        <v>3.5901201038588404E-2</v>
      </c>
      <c r="AL14" s="120">
        <f>(SUM($I4:AL4)/SUM($I5:AL5))/AL15-1</f>
        <v>3.8435550507176286E-2</v>
      </c>
      <c r="AM14" s="120">
        <f>(SUM($I4:AM4)/SUM($I5:AM5))/AM15-1</f>
        <v>3.6841426027637292E-2</v>
      </c>
      <c r="AN14" s="120">
        <f>(SUM($I4:AN4)/SUM($I5:AN5))/AN15-1</f>
        <v>4.1788305907177525E-2</v>
      </c>
      <c r="AO14" s="120">
        <f>(SUM($I4:AO4)/SUM($I5:AO5))/AO15-1</f>
        <v>4.1600127107987106E-2</v>
      </c>
      <c r="AP14" s="120">
        <f>(SUM($I4:AP4)/SUM($I5:AP5))/AP15-1</f>
        <v>4.1024064209940869E-2</v>
      </c>
      <c r="AQ14" s="120">
        <f>(SUM($I4:AQ4)/SUM($I5:AQ5))/AQ15-1</f>
        <v>4.205823950306864E-2</v>
      </c>
      <c r="AR14" s="120">
        <f>(SUM($I4:AR4)/SUM($I5:AR5))/AR15-1</f>
        <v>4.0831006504312484E-2</v>
      </c>
      <c r="AS14" s="120">
        <f>(SUM($I4:AS4)/SUM($I5:AS5))/AS15-1</f>
        <v>3.8455897684683826E-2</v>
      </c>
      <c r="AT14" s="120">
        <f>(SUM($I4:AT4)/SUM($I5:AT5))/AT15-1</f>
        <v>3.7239272435559911E-2</v>
      </c>
      <c r="AU14" s="120">
        <f>(SUM($I4:AU4)/SUM($I5:AU5))/AU15-1</f>
        <v>3.7841803500469062E-2</v>
      </c>
      <c r="AV14" s="120">
        <f>(SUM($I4:AV4)/SUM($I5:AV5))/AV15-1</f>
        <v>3.2619739389982527E-2</v>
      </c>
      <c r="AW14" s="120">
        <f>(SUM($I4:AW4)/SUM($I5:AW5))/AW15-1</f>
        <v>3.0150328433350637E-2</v>
      </c>
      <c r="AX14" s="120">
        <f>(SUM($I4:AX4)/SUM($I5:AX5))/AX15-1</f>
        <v>2.8879101957028475E-2</v>
      </c>
      <c r="AY14" s="120">
        <f>(SUM($I4:AY4)/SUM($I5:AY5))/AY15-1</f>
        <v>3.1792123724869947E-2</v>
      </c>
      <c r="AZ14" s="120">
        <f>(SUM($I4:AZ4)/SUM($I5:AZ5))/AZ15-1</f>
        <v>3.3038339419858342E-2</v>
      </c>
      <c r="BA14" s="120">
        <f>(SUM($I4:BA4)/SUM($I5:BA5))/BA15-1</f>
        <v>2.9937285518240042E-2</v>
      </c>
      <c r="BB14" s="120">
        <f>(SUM($I4:BB4)/SUM($I5:BB5))/BB15-1</f>
        <v>3.0342387544893379E-2</v>
      </c>
      <c r="BC14" s="120">
        <f>(SUM($I4:BC4)/SUM($I5:BC5))/BC15-1</f>
        <v>3.4530173415224352E-2</v>
      </c>
      <c r="BD14" s="120">
        <f>(SUM($I4:BD4)/SUM($I5:BD5))/BD15-1</f>
        <v>3.5651325559679536E-2</v>
      </c>
    </row>
    <row r="15" spans="1:58" s="67" customFormat="1" ht="14.45" x14ac:dyDescent="0.35">
      <c r="A15" s="67" t="s">
        <v>47</v>
      </c>
      <c r="B15" s="74">
        <v>0.60252454485554574</v>
      </c>
      <c r="C15" s="74">
        <v>0.60252454485554574</v>
      </c>
      <c r="D15" s="74">
        <v>0.60252454485554574</v>
      </c>
      <c r="E15" s="74">
        <v>0.60252454485554574</v>
      </c>
      <c r="F15" s="74">
        <v>0.60252454485554574</v>
      </c>
      <c r="G15" s="74">
        <v>0.60252454485554574</v>
      </c>
      <c r="H15" s="74">
        <v>0.60252454485554574</v>
      </c>
      <c r="I15" s="74">
        <f>H13</f>
        <v>0.60252454485554574</v>
      </c>
      <c r="J15" s="75">
        <f t="shared" ref="J15:BD15" si="2">I15</f>
        <v>0.60252454485554574</v>
      </c>
      <c r="K15" s="75">
        <f t="shared" si="2"/>
        <v>0.60252454485554574</v>
      </c>
      <c r="L15" s="76">
        <f t="shared" si="2"/>
        <v>0.60252454485554574</v>
      </c>
      <c r="M15" s="74">
        <f t="shared" si="2"/>
        <v>0.60252454485554574</v>
      </c>
      <c r="N15" s="75">
        <f t="shared" si="2"/>
        <v>0.60252454485554574</v>
      </c>
      <c r="O15" s="75">
        <f t="shared" si="2"/>
        <v>0.60252454485554574</v>
      </c>
      <c r="P15" s="76">
        <f t="shared" si="2"/>
        <v>0.60252454485554574</v>
      </c>
      <c r="Q15" s="74">
        <f t="shared" si="2"/>
        <v>0.60252454485554574</v>
      </c>
      <c r="R15" s="75">
        <f t="shared" si="2"/>
        <v>0.60252454485554574</v>
      </c>
      <c r="S15" s="75">
        <f t="shared" si="2"/>
        <v>0.60252454485554574</v>
      </c>
      <c r="T15" s="76">
        <f t="shared" si="2"/>
        <v>0.60252454485554574</v>
      </c>
      <c r="U15" s="74">
        <f t="shared" si="2"/>
        <v>0.60252454485554574</v>
      </c>
      <c r="V15" s="75">
        <f t="shared" si="2"/>
        <v>0.60252454485554574</v>
      </c>
      <c r="W15" s="75">
        <f t="shared" si="2"/>
        <v>0.60252454485554574</v>
      </c>
      <c r="X15" s="76">
        <f t="shared" si="2"/>
        <v>0.60252454485554574</v>
      </c>
      <c r="Y15" s="76">
        <f t="shared" si="2"/>
        <v>0.60252454485554574</v>
      </c>
      <c r="Z15" s="76">
        <f t="shared" si="2"/>
        <v>0.60252454485554574</v>
      </c>
      <c r="AA15" s="76">
        <f t="shared" si="2"/>
        <v>0.60252454485554574</v>
      </c>
      <c r="AB15" s="76">
        <f t="shared" si="2"/>
        <v>0.60252454485554574</v>
      </c>
      <c r="AC15" s="76">
        <f t="shared" si="2"/>
        <v>0.60252454485554574</v>
      </c>
      <c r="AD15" s="76">
        <f t="shared" si="2"/>
        <v>0.60252454485554574</v>
      </c>
      <c r="AE15" s="76">
        <f t="shared" si="2"/>
        <v>0.60252454485554574</v>
      </c>
      <c r="AF15" s="76">
        <f t="shared" si="2"/>
        <v>0.60252454485554574</v>
      </c>
      <c r="AG15" s="76">
        <f t="shared" si="2"/>
        <v>0.60252454485554574</v>
      </c>
      <c r="AH15" s="76">
        <f t="shared" si="2"/>
        <v>0.60252454485554574</v>
      </c>
      <c r="AI15" s="76">
        <f t="shared" si="2"/>
        <v>0.60252454485554574</v>
      </c>
      <c r="AJ15" s="76">
        <f t="shared" si="2"/>
        <v>0.60252454485554574</v>
      </c>
      <c r="AK15" s="76">
        <f t="shared" si="2"/>
        <v>0.60252454485554574</v>
      </c>
      <c r="AL15" s="76">
        <f t="shared" si="2"/>
        <v>0.60252454485554574</v>
      </c>
      <c r="AM15" s="76">
        <f t="shared" si="2"/>
        <v>0.60252454485554574</v>
      </c>
      <c r="AN15" s="76">
        <f t="shared" si="2"/>
        <v>0.60252454485554574</v>
      </c>
      <c r="AO15" s="76">
        <f t="shared" si="2"/>
        <v>0.60252454485554574</v>
      </c>
      <c r="AP15" s="76">
        <f t="shared" si="2"/>
        <v>0.60252454485554574</v>
      </c>
      <c r="AQ15" s="76">
        <f t="shared" si="2"/>
        <v>0.60252454485554574</v>
      </c>
      <c r="AR15" s="76">
        <f t="shared" si="2"/>
        <v>0.60252454485554574</v>
      </c>
      <c r="AS15" s="76">
        <f t="shared" si="2"/>
        <v>0.60252454485554574</v>
      </c>
      <c r="AT15" s="76">
        <f t="shared" si="2"/>
        <v>0.60252454485554574</v>
      </c>
      <c r="AU15" s="76">
        <f t="shared" si="2"/>
        <v>0.60252454485554574</v>
      </c>
      <c r="AV15" s="76">
        <f t="shared" si="2"/>
        <v>0.60252454485554574</v>
      </c>
      <c r="AW15" s="76">
        <f t="shared" si="2"/>
        <v>0.60252454485554574</v>
      </c>
      <c r="AX15" s="76">
        <f t="shared" si="2"/>
        <v>0.60252454485554574</v>
      </c>
      <c r="AY15" s="76">
        <f t="shared" si="2"/>
        <v>0.60252454485554574</v>
      </c>
      <c r="AZ15" s="76">
        <f t="shared" si="2"/>
        <v>0.60252454485554574</v>
      </c>
      <c r="BA15" s="76">
        <f t="shared" si="2"/>
        <v>0.60252454485554574</v>
      </c>
      <c r="BB15" s="76">
        <f t="shared" si="2"/>
        <v>0.60252454485554574</v>
      </c>
      <c r="BC15" s="76">
        <f t="shared" si="2"/>
        <v>0.60252454485554574</v>
      </c>
      <c r="BD15" s="76">
        <f t="shared" si="2"/>
        <v>0.60252454485554574</v>
      </c>
    </row>
    <row r="16" spans="1:58" s="67" customFormat="1" thickBot="1" x14ac:dyDescent="0.4">
      <c r="A16" s="67" t="s">
        <v>105</v>
      </c>
      <c r="B16" s="100">
        <f t="shared" ref="B16:H16" si="3">B13/B15-1</f>
        <v>-1.3483436119529402E-2</v>
      </c>
      <c r="C16" s="101">
        <f t="shared" si="3"/>
        <v>5.195436921379093E-2</v>
      </c>
      <c r="D16" s="101">
        <f t="shared" si="3"/>
        <v>-1.1539784899746719E-3</v>
      </c>
      <c r="E16" s="128">
        <f t="shared" si="3"/>
        <v>-0.11890300961343681</v>
      </c>
      <c r="F16" s="128">
        <f t="shared" si="3"/>
        <v>3.5491169972874603E-2</v>
      </c>
      <c r="G16" s="128">
        <f t="shared" si="3"/>
        <v>9.3656513842337086E-2</v>
      </c>
      <c r="H16" s="102">
        <f t="shared" si="3"/>
        <v>0</v>
      </c>
      <c r="I16" s="89">
        <f>I13/I15-1</f>
        <v>-0.15246631224276719</v>
      </c>
      <c r="J16" s="90">
        <f t="shared" ref="J16:BD16" si="4">J13/J15-1</f>
        <v>4.3485866379312066E-2</v>
      </c>
      <c r="K16" s="90">
        <f t="shared" si="4"/>
        <v>1.2895118073631417E-2</v>
      </c>
      <c r="L16" s="91">
        <f>L13/L15-1</f>
        <v>3.4964783594097382E-2</v>
      </c>
      <c r="M16" s="89">
        <f t="shared" si="4"/>
        <v>-4.1295835581016016E-2</v>
      </c>
      <c r="N16" s="90">
        <f t="shared" si="4"/>
        <v>9.4457430772121764E-2</v>
      </c>
      <c r="O16" s="90">
        <f t="shared" si="4"/>
        <v>6.3469048984093002E-2</v>
      </c>
      <c r="P16" s="91">
        <f t="shared" si="4"/>
        <v>6.5289033687889741E-2</v>
      </c>
      <c r="Q16" s="91">
        <f t="shared" si="4"/>
        <v>3.2793338026217089E-2</v>
      </c>
      <c r="R16" s="91">
        <f t="shared" si="4"/>
        <v>-7.5015094869755883E-3</v>
      </c>
      <c r="S16" s="91">
        <f t="shared" si="4"/>
        <v>-3.4766125136032056E-3</v>
      </c>
      <c r="T16" s="91">
        <f t="shared" si="4"/>
        <v>1.4584996152638752E-2</v>
      </c>
      <c r="U16" s="89">
        <f t="shared" si="4"/>
        <v>-1.7261842371962821E-4</v>
      </c>
      <c r="V16" s="90">
        <f t="shared" si="4"/>
        <v>3.0187440754383399E-2</v>
      </c>
      <c r="W16" s="90">
        <f t="shared" si="4"/>
        <v>5.5834211857472393E-2</v>
      </c>
      <c r="X16" s="91">
        <f t="shared" si="4"/>
        <v>-1.943800232360815E-2</v>
      </c>
      <c r="Y16" s="91">
        <f t="shared" si="4"/>
        <v>5.892005600405259E-4</v>
      </c>
      <c r="Z16" s="91">
        <f t="shared" si="4"/>
        <v>4.3248892231570579E-2</v>
      </c>
      <c r="AA16" s="91">
        <f t="shared" si="4"/>
        <v>7.8692084379126559E-2</v>
      </c>
      <c r="AB16" s="91">
        <f t="shared" si="4"/>
        <v>0.16479205732153002</v>
      </c>
      <c r="AC16" s="91">
        <f t="shared" si="4"/>
        <v>2.8930454545913475E-2</v>
      </c>
      <c r="AD16" s="91">
        <f t="shared" si="4"/>
        <v>7.1298436717521119E-2</v>
      </c>
      <c r="AE16" s="91">
        <f t="shared" si="4"/>
        <v>1.5285231714741165E-2</v>
      </c>
      <c r="AF16" s="91">
        <f t="shared" si="4"/>
        <v>0.20862611544155274</v>
      </c>
      <c r="AG16" s="91">
        <f t="shared" si="4"/>
        <v>-1.7615197175708031E-2</v>
      </c>
      <c r="AH16" s="91">
        <f t="shared" si="4"/>
        <v>5.8554178000302715E-2</v>
      </c>
      <c r="AI16" s="91">
        <f t="shared" si="4"/>
        <v>-7.8101884740487959E-3</v>
      </c>
      <c r="AJ16" s="91">
        <f t="shared" si="4"/>
        <v>7.2192177393620049E-2</v>
      </c>
      <c r="AK16" s="89">
        <f t="shared" si="4"/>
        <v>5.9311832992436919E-3</v>
      </c>
      <c r="AL16" s="90">
        <f t="shared" si="4"/>
        <v>0.10893577175839808</v>
      </c>
      <c r="AM16" s="90">
        <f t="shared" si="4"/>
        <v>-7.0511159362129927E-3</v>
      </c>
      <c r="AN16" s="91">
        <f t="shared" si="4"/>
        <v>0.12241919876972851</v>
      </c>
      <c r="AO16" s="93">
        <f t="shared" si="4"/>
        <v>3.5185341704116135E-2</v>
      </c>
      <c r="AP16" s="90">
        <f t="shared" si="4"/>
        <v>2.2333250500949031E-2</v>
      </c>
      <c r="AQ16" s="90">
        <f t="shared" si="4"/>
        <v>7.89349169238589E-2</v>
      </c>
      <c r="AR16" s="91">
        <f t="shared" si="4"/>
        <v>-5.2255710943382994E-3</v>
      </c>
      <c r="AS16" s="89">
        <f t="shared" si="4"/>
        <v>-5.7625319139292364E-2</v>
      </c>
      <c r="AT16" s="90">
        <f t="shared" si="4"/>
        <v>-1.1676336707445722E-2</v>
      </c>
      <c r="AU16" s="90">
        <f t="shared" si="4"/>
        <v>6.2059717335595677E-2</v>
      </c>
      <c r="AV16" s="90">
        <f>AV13/AV15-1</f>
        <v>-0.17117298688214433</v>
      </c>
      <c r="AW16" s="93">
        <f t="shared" si="4"/>
        <v>-4.3436772781338506E-2</v>
      </c>
      <c r="AX16" s="90">
        <f t="shared" si="4"/>
        <v>-2.6141779551482558E-2</v>
      </c>
      <c r="AY16" s="92">
        <f t="shared" si="4"/>
        <v>0.27763341172519529</v>
      </c>
      <c r="AZ16" s="91">
        <f t="shared" si="4"/>
        <v>0.10708340003067818</v>
      </c>
      <c r="BA16" s="93">
        <f t="shared" si="4"/>
        <v>-9.1334261422368224E-2</v>
      </c>
      <c r="BB16" s="90">
        <f t="shared" si="4"/>
        <v>4.9711981544336092E-2</v>
      </c>
      <c r="BC16" s="90">
        <f t="shared" si="4"/>
        <v>0.31928330646617153</v>
      </c>
      <c r="BD16" s="91">
        <f t="shared" si="4"/>
        <v>0.11813450949883419</v>
      </c>
    </row>
    <row r="17" spans="1:56" s="67" customFormat="1" thickBot="1" x14ac:dyDescent="0.4"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</row>
    <row r="18" spans="1:56" s="67" customFormat="1" thickBot="1" x14ac:dyDescent="0.4">
      <c r="B18" s="96" t="s">
        <v>121</v>
      </c>
      <c r="C18" s="97" t="s">
        <v>122</v>
      </c>
      <c r="D18" s="97" t="s">
        <v>123</v>
      </c>
      <c r="E18" s="130">
        <v>42659</v>
      </c>
      <c r="F18" s="130">
        <v>42690</v>
      </c>
      <c r="G18" s="130">
        <v>42720</v>
      </c>
      <c r="H18" s="103" t="s">
        <v>124</v>
      </c>
      <c r="I18" s="130">
        <v>42751</v>
      </c>
      <c r="J18" s="131">
        <v>42782</v>
      </c>
      <c r="K18" s="131">
        <v>42810</v>
      </c>
      <c r="L18" s="131">
        <v>42841</v>
      </c>
      <c r="M18" s="131">
        <v>42871</v>
      </c>
      <c r="N18" s="131">
        <v>42902</v>
      </c>
      <c r="O18" s="131">
        <v>42932</v>
      </c>
      <c r="P18" s="131">
        <v>42963</v>
      </c>
      <c r="Q18" s="131">
        <v>42994</v>
      </c>
      <c r="R18" s="131">
        <v>43024</v>
      </c>
      <c r="S18" s="131">
        <v>43055</v>
      </c>
      <c r="T18" s="132">
        <v>43085</v>
      </c>
    </row>
    <row r="19" spans="1:56" s="67" customFormat="1" ht="14.45" x14ac:dyDescent="0.35">
      <c r="A19" s="67" t="s">
        <v>106</v>
      </c>
      <c r="B19" s="104">
        <f>B4/B5</f>
        <v>0.59440044364453748</v>
      </c>
      <c r="C19" s="104">
        <f t="shared" ref="C19:H19" si="5">C4/C5</f>
        <v>0.63382832751934215</v>
      </c>
      <c r="D19" s="104">
        <f t="shared" si="5"/>
        <v>0.60182924449110065</v>
      </c>
      <c r="E19" s="104">
        <f t="shared" si="5"/>
        <v>0.53088256310625515</v>
      </c>
      <c r="F19" s="104">
        <f t="shared" si="5"/>
        <v>0.62390884588984286</v>
      </c>
      <c r="G19" s="104">
        <f t="shared" si="5"/>
        <v>0.65895489323115697</v>
      </c>
      <c r="H19" s="104">
        <f t="shared" si="5"/>
        <v>0.60252454485554574</v>
      </c>
      <c r="I19" s="104">
        <f>SUM(I4:L4)/SUM(I5:L5)</f>
        <v>0.60352592043013753</v>
      </c>
      <c r="J19" s="95">
        <f>SUM(M4:P4)/SUM(M5:P5)</f>
        <v>0.63539303067877206</v>
      </c>
      <c r="K19" s="95">
        <f>SUM(Q4:T4)/SUM(Q5:T5)</f>
        <v>0.60751394877857268</v>
      </c>
      <c r="L19" s="95">
        <f>SUM(U4:X4)/SUM(U5:X5)</f>
        <v>0.61211649191616246</v>
      </c>
      <c r="M19" s="95">
        <f>SUM(Y4:AB4)/SUM(Y5:AB5)</f>
        <v>0.64913235843970107</v>
      </c>
      <c r="N19" s="95">
        <f>SUM(AC4:AF4)/SUM(AC5:AF5)</f>
        <v>0.64829098956554965</v>
      </c>
      <c r="O19" s="95">
        <f>SUM(AG4:AJ4)/SUM(AG5:AJ5)</f>
        <v>0.62235572934724603</v>
      </c>
      <c r="P19" s="95">
        <f>IFERROR(SUM(AK4:AN4)/SUM(AK5:AN5),"")</f>
        <v>0.64512208566238538</v>
      </c>
      <c r="Q19" s="95">
        <f>IFERROR(SUM(AO4:AR4)/SUM(AO5:AR5),"")</f>
        <v>0.62231488432386983</v>
      </c>
      <c r="R19" s="95">
        <f>IFERROR(SUM(AS4:AV4)/SUM(AS5:AV5),"")</f>
        <v>0.57456811194926172</v>
      </c>
      <c r="S19" s="95">
        <f>IFERROR(SUM(AW4:AZ4)/SUM(AW5:AZ5),"")</f>
        <v>0.62529785989241404</v>
      </c>
      <c r="T19" s="95">
        <f>IFERROR(SUM(BA4:BD4)/SUM(BA5:BD5),"")</f>
        <v>0.64448933599176383</v>
      </c>
      <c r="BA19" s="134"/>
      <c r="BB19" s="134"/>
      <c r="BC19" s="134"/>
      <c r="BD19" s="134"/>
    </row>
    <row r="20" spans="1:56" s="67" customFormat="1" ht="14.45" x14ac:dyDescent="0.35">
      <c r="A20" s="67" t="s">
        <v>114</v>
      </c>
      <c r="B20" s="88">
        <f t="shared" ref="B20" si="6">B19/B21-1</f>
        <v>-1.3483436119529402E-2</v>
      </c>
      <c r="C20" s="88">
        <f>(SUM($B4:C4)/SUM($B5:C5))/C21-1</f>
        <v>2.2039282763437917E-2</v>
      </c>
      <c r="D20" s="88">
        <f>(SUM($B4:D4)/SUM($B5:D5))/D21-1</f>
        <v>1.3608055033045297E-2</v>
      </c>
      <c r="E20" s="88">
        <f>(SUM($B4:E4)/SUM($B5:E5))/E21-1</f>
        <v>1.6470411008024932E-3</v>
      </c>
      <c r="F20" s="88">
        <f>(SUM($B4:F4)/SUM($B5:F5))/F21-1</f>
        <v>4.4090186076712889E-3</v>
      </c>
      <c r="G20" s="88">
        <f>(SUM($B4:G4)/SUM($B5:G5))/G21-1</f>
        <v>1.0581118092383601E-2</v>
      </c>
      <c r="H20" s="88">
        <f>(SUM($B4:G4)/SUM($B5:G5))/H21-1</f>
        <v>1.0581118092383601E-2</v>
      </c>
      <c r="I20" s="88">
        <f>I19/I21-1</f>
        <v>1.6619664429302627E-3</v>
      </c>
      <c r="J20" s="83">
        <f>(SUM($I4:P4)/SUM($I5:P5))/J21-1</f>
        <v>2.955377204228582E-2</v>
      </c>
      <c r="K20" s="83">
        <f>(SUM($I4:T4)/SUM($I5:T5))/K21-1</f>
        <v>2.1508041243499365E-2</v>
      </c>
      <c r="L20" s="83">
        <f>(SUM($I4:X4)/SUM($I5:X5))/L21-1</f>
        <v>2.0201838920012927E-2</v>
      </c>
      <c r="M20" s="83">
        <f>(SUM($I4:AB4)/SUM($I5:AB5))/M21-1</f>
        <v>3.0608752224523972E-2</v>
      </c>
      <c r="N20" s="83">
        <f>(SUM($I4:AF4)/SUM($I5:AF5))/N21-1</f>
        <v>3.7347885120149416E-2</v>
      </c>
      <c r="O20" s="83">
        <f>(SUM($I4:AJ4)/SUM($I5:AJ5))/O21-1</f>
        <v>3.6785333751665927E-2</v>
      </c>
      <c r="P20" s="83">
        <f>(SUM($I4:AN4)/SUM($I5:AN5))/P21-1</f>
        <v>4.1788305907177525E-2</v>
      </c>
      <c r="Q20" s="83">
        <f>(SUM($I4:AR4)/SUM($I5:AR5))/Q21-1</f>
        <v>4.0831006504312484E-2</v>
      </c>
      <c r="R20" s="83">
        <f>(SUM($I4:AV4)/SUM($I5:AV5))/R21-1</f>
        <v>3.2619739389982527E-2</v>
      </c>
      <c r="S20" s="83">
        <f>(SUM($I4:AZ4)/SUM($I5:AZ5))/S21-1</f>
        <v>3.3038339419858342E-2</v>
      </c>
      <c r="T20" s="83">
        <f>(SUM($I4:BD4)/SUM($I5:BD5))/T21-1</f>
        <v>3.5651325559679536E-2</v>
      </c>
    </row>
    <row r="21" spans="1:56" s="67" customFormat="1" ht="14.45" x14ac:dyDescent="0.35">
      <c r="A21" s="67" t="s">
        <v>47</v>
      </c>
      <c r="B21" s="86">
        <f t="shared" ref="B21:H21" si="7">B15</f>
        <v>0.60252454485554574</v>
      </c>
      <c r="C21" s="86">
        <f t="shared" si="7"/>
        <v>0.60252454485554574</v>
      </c>
      <c r="D21" s="86">
        <f t="shared" si="7"/>
        <v>0.60252454485554574</v>
      </c>
      <c r="E21" s="86">
        <f>+E15</f>
        <v>0.60252454485554574</v>
      </c>
      <c r="F21" s="86">
        <f t="shared" ref="F21:G22" si="8">+F15</f>
        <v>0.60252454485554574</v>
      </c>
      <c r="G21" s="86">
        <f t="shared" si="8"/>
        <v>0.60252454485554574</v>
      </c>
      <c r="H21" s="86">
        <f t="shared" si="7"/>
        <v>0.60252454485554574</v>
      </c>
      <c r="I21" s="86">
        <f>I15</f>
        <v>0.60252454485554574</v>
      </c>
      <c r="J21" s="83">
        <f>I21</f>
        <v>0.60252454485554574</v>
      </c>
      <c r="K21" s="83">
        <f>J21</f>
        <v>0.60252454485554574</v>
      </c>
      <c r="L21" s="83">
        <f>K21</f>
        <v>0.60252454485554574</v>
      </c>
      <c r="M21" s="83">
        <f t="shared" ref="M21:T21" si="9">L21</f>
        <v>0.60252454485554574</v>
      </c>
      <c r="N21" s="83">
        <f t="shared" si="9"/>
        <v>0.60252454485554574</v>
      </c>
      <c r="O21" s="83">
        <f t="shared" si="9"/>
        <v>0.60252454485554574</v>
      </c>
      <c r="P21" s="83">
        <f t="shared" si="9"/>
        <v>0.60252454485554574</v>
      </c>
      <c r="Q21" s="83">
        <f t="shared" si="9"/>
        <v>0.60252454485554574</v>
      </c>
      <c r="R21" s="83">
        <f t="shared" si="9"/>
        <v>0.60252454485554574</v>
      </c>
      <c r="S21" s="83">
        <f t="shared" si="9"/>
        <v>0.60252454485554574</v>
      </c>
      <c r="T21" s="83">
        <f t="shared" si="9"/>
        <v>0.60252454485554574</v>
      </c>
      <c r="AQ21" s="124"/>
      <c r="AU21" s="124"/>
      <c r="AW21" s="126"/>
    </row>
    <row r="22" spans="1:56" s="67" customFormat="1" thickBot="1" x14ac:dyDescent="0.4">
      <c r="A22" s="67" t="s">
        <v>105</v>
      </c>
      <c r="B22" s="89">
        <f t="shared" ref="B22:H22" si="10">B19/B21-1</f>
        <v>-1.3483436119529402E-2</v>
      </c>
      <c r="C22" s="89">
        <f t="shared" si="10"/>
        <v>5.195436921379093E-2</v>
      </c>
      <c r="D22" s="89">
        <f t="shared" si="10"/>
        <v>-1.1539784899746719E-3</v>
      </c>
      <c r="E22" s="89">
        <f>+E16</f>
        <v>-0.11890300961343681</v>
      </c>
      <c r="F22" s="89">
        <f t="shared" si="8"/>
        <v>3.5491169972874603E-2</v>
      </c>
      <c r="G22" s="89">
        <f t="shared" si="8"/>
        <v>9.3656513842337086E-2</v>
      </c>
      <c r="H22" s="89">
        <f t="shared" si="10"/>
        <v>0</v>
      </c>
      <c r="I22" s="89">
        <f>I19/I21-1</f>
        <v>1.6619664429302627E-3</v>
      </c>
      <c r="J22" s="90">
        <f t="shared" ref="J22:O22" si="11">J19/J21-1</f>
        <v>5.4551281111886452E-2</v>
      </c>
      <c r="K22" s="90">
        <f t="shared" si="11"/>
        <v>8.2808309895876508E-3</v>
      </c>
      <c r="L22" s="90">
        <f t="shared" si="11"/>
        <v>1.591959554596456E-2</v>
      </c>
      <c r="M22" s="90">
        <f t="shared" si="11"/>
        <v>7.7354215661586734E-2</v>
      </c>
      <c r="N22" s="90">
        <f t="shared" si="11"/>
        <v>7.595780968719934E-2</v>
      </c>
      <c r="O22" s="90">
        <f t="shared" si="11"/>
        <v>3.291348819068407E-2</v>
      </c>
      <c r="P22" s="90">
        <f>IFERROR(P19/P21-1,"")</f>
        <v>7.0698432405027267E-2</v>
      </c>
      <c r="Q22" s="90">
        <f t="shared" ref="Q22:T22" si="12">IFERROR(Q19/Q21-1,"")</f>
        <v>3.2845698382409916E-2</v>
      </c>
      <c r="R22" s="90">
        <f t="shared" si="12"/>
        <v>-4.6398828304972217E-2</v>
      </c>
      <c r="S22" s="90">
        <f t="shared" si="12"/>
        <v>3.779649348945302E-2</v>
      </c>
      <c r="T22" s="90">
        <f t="shared" si="12"/>
        <v>6.9648268264787649E-2</v>
      </c>
    </row>
    <row r="23" spans="1:56" ht="14.45" x14ac:dyDescent="0.35">
      <c r="AQ23" s="125"/>
      <c r="AU23" s="125"/>
      <c r="AW23" s="126"/>
    </row>
    <row r="25" spans="1:56" ht="14.45" x14ac:dyDescent="0.35">
      <c r="C25" s="123"/>
      <c r="AQ25" s="123"/>
      <c r="AR25" s="123"/>
      <c r="AU25" s="123"/>
      <c r="AV25" s="123"/>
      <c r="AW25" s="126"/>
      <c r="AX25" s="126"/>
    </row>
    <row r="26" spans="1:56" ht="14.45" x14ac:dyDescent="0.35">
      <c r="A26" s="129"/>
      <c r="C26" s="123"/>
    </row>
  </sheetData>
  <mergeCells count="26">
    <mergeCell ref="AO11:AR11"/>
    <mergeCell ref="AS11:AV11"/>
    <mergeCell ref="AW11:AZ11"/>
    <mergeCell ref="BA11:BD11"/>
    <mergeCell ref="BA2:BD2"/>
    <mergeCell ref="AO2:AR2"/>
    <mergeCell ref="AS2:AV2"/>
    <mergeCell ref="AW2:AZ2"/>
    <mergeCell ref="B11:H11"/>
    <mergeCell ref="I11:L11"/>
    <mergeCell ref="M11:P11"/>
    <mergeCell ref="Q11:T11"/>
    <mergeCell ref="U11:X11"/>
    <mergeCell ref="Y11:AB11"/>
    <mergeCell ref="AC11:AF11"/>
    <mergeCell ref="AG11:AJ11"/>
    <mergeCell ref="AK11:AN11"/>
    <mergeCell ref="AC2:AF2"/>
    <mergeCell ref="AG2:AJ2"/>
    <mergeCell ref="AK2:AN2"/>
    <mergeCell ref="Y2:AB2"/>
    <mergeCell ref="B2:H2"/>
    <mergeCell ref="I2:L2"/>
    <mergeCell ref="M2:P2"/>
    <mergeCell ref="Q2:T2"/>
    <mergeCell ref="U2:X2"/>
  </mergeCells>
  <pageMargins left="0.25" right="0.25" top="0.5" bottom="0.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21"/>
  <sheetViews>
    <sheetView zoomScale="106" zoomScaleNormal="106" workbookViewId="0">
      <pane xSplit="1" ySplit="4" topLeftCell="B5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defaultRowHeight="15" x14ac:dyDescent="0.25"/>
  <cols>
    <col min="1" max="1" width="36.42578125" customWidth="1"/>
    <col min="2" max="2" width="11.140625" bestFit="1" customWidth="1"/>
    <col min="3" max="3" width="10.85546875" bestFit="1" customWidth="1"/>
    <col min="4" max="5" width="11.140625" bestFit="1" customWidth="1"/>
    <col min="6" max="9" width="9.5703125" bestFit="1" customWidth="1"/>
    <col min="10" max="13" width="10" bestFit="1" customWidth="1"/>
    <col min="14" max="22" width="10.85546875" bestFit="1" customWidth="1"/>
    <col min="23" max="24" width="11.140625" bestFit="1" customWidth="1"/>
    <col min="25" max="26" width="10.85546875" bestFit="1" customWidth="1"/>
    <col min="27" max="35" width="9.140625" bestFit="1" customWidth="1"/>
    <col min="36" max="36" width="8.85546875" bestFit="1" customWidth="1"/>
    <col min="37" max="45" width="9.140625" bestFit="1" customWidth="1"/>
    <col min="46" max="46" width="8.85546875" bestFit="1" customWidth="1"/>
    <col min="47" max="55" width="9.140625" bestFit="1" customWidth="1"/>
    <col min="56" max="56" width="8.85546875" bestFit="1" customWidth="1"/>
    <col min="57" max="57" width="9.140625" bestFit="1" customWidth="1"/>
  </cols>
  <sheetData>
    <row r="1" spans="1:57" s="32" customFormat="1" ht="14.45" x14ac:dyDescent="0.35">
      <c r="A1" s="32" t="s">
        <v>108</v>
      </c>
      <c r="B1" s="139">
        <v>2015</v>
      </c>
      <c r="C1" s="140"/>
      <c r="D1" s="140"/>
      <c r="E1" s="140"/>
      <c r="F1" s="141">
        <v>42385</v>
      </c>
      <c r="G1" s="142"/>
      <c r="H1" s="142"/>
      <c r="I1" s="143"/>
      <c r="J1" s="141">
        <v>42416</v>
      </c>
      <c r="K1" s="142"/>
      <c r="L1" s="142"/>
      <c r="M1" s="143"/>
      <c r="N1" s="144">
        <v>42445</v>
      </c>
      <c r="O1" s="145"/>
      <c r="P1" s="145"/>
      <c r="Q1" s="146"/>
      <c r="R1" s="144">
        <v>42476</v>
      </c>
      <c r="S1" s="145"/>
      <c r="T1" s="145"/>
      <c r="U1" s="145"/>
      <c r="V1" s="146"/>
      <c r="W1" s="144">
        <v>42506</v>
      </c>
      <c r="X1" s="145"/>
      <c r="Y1" s="145"/>
      <c r="Z1" s="146"/>
      <c r="AA1" s="144">
        <v>42537</v>
      </c>
      <c r="AB1" s="145"/>
      <c r="AC1" s="145"/>
      <c r="AD1" s="146"/>
      <c r="AE1" s="144">
        <v>42567</v>
      </c>
      <c r="AF1" s="145"/>
      <c r="AG1" s="145"/>
      <c r="AH1" s="145"/>
      <c r="AI1" s="146"/>
      <c r="AJ1" s="144">
        <v>42598</v>
      </c>
      <c r="AK1" s="145"/>
      <c r="AL1" s="145"/>
      <c r="AM1" s="146"/>
      <c r="AN1" s="144">
        <v>42629</v>
      </c>
      <c r="AO1" s="145"/>
      <c r="AP1" s="145"/>
      <c r="AQ1" s="145"/>
      <c r="AR1" s="146"/>
      <c r="AS1" s="144">
        <v>42659</v>
      </c>
      <c r="AT1" s="145"/>
      <c r="AU1" s="145"/>
      <c r="AV1" s="146"/>
      <c r="AW1" s="144">
        <v>42690</v>
      </c>
      <c r="AX1" s="145"/>
      <c r="AY1" s="145"/>
      <c r="AZ1" s="146"/>
      <c r="BA1" s="144">
        <v>42720</v>
      </c>
      <c r="BB1" s="145"/>
      <c r="BC1" s="145"/>
      <c r="BD1" s="145"/>
      <c r="BE1" s="146"/>
    </row>
    <row r="2" spans="1:57" thickBot="1" x14ac:dyDescent="0.4">
      <c r="B2" s="28" t="s">
        <v>48</v>
      </c>
      <c r="C2" s="28" t="s">
        <v>49</v>
      </c>
      <c r="D2" s="28" t="s">
        <v>50</v>
      </c>
      <c r="E2" s="33" t="s">
        <v>51</v>
      </c>
      <c r="F2" s="35" t="s">
        <v>52</v>
      </c>
      <c r="G2" s="28" t="s">
        <v>53</v>
      </c>
      <c r="H2" s="28" t="s">
        <v>54</v>
      </c>
      <c r="I2" s="36" t="s">
        <v>55</v>
      </c>
      <c r="J2" s="35" t="s">
        <v>56</v>
      </c>
      <c r="K2" s="28" t="s">
        <v>57</v>
      </c>
      <c r="L2" s="28" t="s">
        <v>58</v>
      </c>
      <c r="M2" s="36" t="s">
        <v>59</v>
      </c>
      <c r="N2" s="35" t="s">
        <v>60</v>
      </c>
      <c r="O2" s="28" t="s">
        <v>61</v>
      </c>
      <c r="P2" s="28" t="s">
        <v>62</v>
      </c>
      <c r="Q2" s="36" t="s">
        <v>63</v>
      </c>
      <c r="R2" s="35" t="s">
        <v>64</v>
      </c>
      <c r="S2" s="28" t="s">
        <v>65</v>
      </c>
      <c r="T2" s="28" t="s">
        <v>66</v>
      </c>
      <c r="U2" s="28" t="s">
        <v>67</v>
      </c>
      <c r="V2" s="36" t="s">
        <v>68</v>
      </c>
      <c r="W2" s="35" t="s">
        <v>69</v>
      </c>
      <c r="X2" s="28" t="s">
        <v>70</v>
      </c>
      <c r="Y2" s="28" t="s">
        <v>71</v>
      </c>
      <c r="Z2" s="36" t="s">
        <v>72</v>
      </c>
      <c r="AA2" s="52" t="s">
        <v>73</v>
      </c>
      <c r="AB2" s="53" t="s">
        <v>74</v>
      </c>
      <c r="AC2" s="53" t="s">
        <v>75</v>
      </c>
      <c r="AD2" s="54" t="s">
        <v>76</v>
      </c>
      <c r="AE2" s="35" t="s">
        <v>77</v>
      </c>
      <c r="AF2" s="28" t="s">
        <v>78</v>
      </c>
      <c r="AG2" s="28" t="s">
        <v>79</v>
      </c>
      <c r="AH2" s="28" t="s">
        <v>80</v>
      </c>
      <c r="AI2" s="36" t="s">
        <v>81</v>
      </c>
      <c r="AJ2" s="35" t="s">
        <v>82</v>
      </c>
      <c r="AK2" s="28" t="s">
        <v>83</v>
      </c>
      <c r="AL2" s="28" t="s">
        <v>84</v>
      </c>
      <c r="AM2" s="36" t="s">
        <v>85</v>
      </c>
      <c r="AN2" s="35" t="s">
        <v>86</v>
      </c>
      <c r="AO2" s="28" t="s">
        <v>87</v>
      </c>
      <c r="AP2" s="28" t="s">
        <v>88</v>
      </c>
      <c r="AQ2" s="28" t="s">
        <v>89</v>
      </c>
      <c r="AR2" s="36" t="s">
        <v>90</v>
      </c>
      <c r="AS2" s="35" t="s">
        <v>91</v>
      </c>
      <c r="AT2" s="28" t="s">
        <v>92</v>
      </c>
      <c r="AU2" s="28" t="s">
        <v>93</v>
      </c>
      <c r="AV2" s="36" t="s">
        <v>94</v>
      </c>
      <c r="AW2" s="35" t="s">
        <v>95</v>
      </c>
      <c r="AX2" s="28" t="s">
        <v>96</v>
      </c>
      <c r="AY2" s="28" t="s">
        <v>97</v>
      </c>
      <c r="AZ2" s="36" t="s">
        <v>98</v>
      </c>
      <c r="BA2" s="35" t="s">
        <v>99</v>
      </c>
      <c r="BB2" s="28" t="s">
        <v>100</v>
      </c>
      <c r="BC2" s="28" t="s">
        <v>101</v>
      </c>
      <c r="BD2" s="28" t="s">
        <v>102</v>
      </c>
      <c r="BE2" s="36" t="s">
        <v>103</v>
      </c>
    </row>
    <row r="3" spans="1:57" s="42" customFormat="1" ht="14.45" x14ac:dyDescent="0.35">
      <c r="A3" s="42" t="s">
        <v>111</v>
      </c>
      <c r="B3" s="43">
        <v>25639</v>
      </c>
      <c r="C3" s="43">
        <v>25718</v>
      </c>
      <c r="D3" s="43">
        <v>26675</v>
      </c>
      <c r="E3" s="51">
        <v>24745.439999999999</v>
      </c>
      <c r="F3" s="44">
        <v>1991</v>
      </c>
      <c r="G3" s="43">
        <v>1991</v>
      </c>
      <c r="H3" s="43">
        <v>1991</v>
      </c>
      <c r="I3" s="45">
        <v>1991</v>
      </c>
      <c r="J3" s="44">
        <v>4139.75</v>
      </c>
      <c r="K3" s="43">
        <v>4139.75</v>
      </c>
      <c r="L3" s="43">
        <v>4139.75</v>
      </c>
      <c r="M3" s="45">
        <v>4139.75</v>
      </c>
      <c r="N3" s="44">
        <v>6405.5</v>
      </c>
      <c r="O3" s="44">
        <v>6405.5</v>
      </c>
      <c r="P3" s="44">
        <v>6405.5</v>
      </c>
      <c r="Q3" s="44">
        <v>6405.5</v>
      </c>
      <c r="R3" s="44">
        <v>6856.8</v>
      </c>
      <c r="S3" s="44">
        <v>6856.8</v>
      </c>
      <c r="T3" s="44">
        <v>6856.8</v>
      </c>
      <c r="U3" s="44">
        <v>6856.8</v>
      </c>
      <c r="V3" s="44">
        <v>6856.8</v>
      </c>
      <c r="W3" s="44">
        <v>10715.75</v>
      </c>
      <c r="X3" s="44">
        <v>10715.75</v>
      </c>
      <c r="Y3" s="44">
        <v>10715.75</v>
      </c>
      <c r="Z3" s="44">
        <v>10715.75</v>
      </c>
      <c r="AA3" s="55"/>
      <c r="AB3" s="56"/>
      <c r="AC3" s="56"/>
      <c r="AD3" s="57"/>
      <c r="AE3" s="44"/>
      <c r="AF3" s="43"/>
      <c r="AG3" s="43"/>
      <c r="AH3" s="43"/>
      <c r="AI3" s="45"/>
      <c r="AJ3" s="44"/>
      <c r="AK3" s="43"/>
      <c r="AL3" s="43"/>
      <c r="AM3" s="45"/>
      <c r="AN3" s="44"/>
      <c r="AO3" s="43"/>
      <c r="AP3" s="43"/>
      <c r="AQ3" s="43"/>
      <c r="AR3" s="45"/>
      <c r="AS3" s="44"/>
      <c r="AT3" s="43"/>
      <c r="AU3" s="43"/>
      <c r="AV3" s="45"/>
      <c r="AW3" s="44"/>
      <c r="AX3" s="43"/>
      <c r="AY3" s="43"/>
      <c r="AZ3" s="45"/>
      <c r="BA3" s="44"/>
      <c r="BB3" s="43"/>
      <c r="BC3" s="43"/>
      <c r="BD3" s="43"/>
      <c r="BE3" s="45"/>
    </row>
    <row r="4" spans="1:57" s="42" customFormat="1" thickBot="1" x14ac:dyDescent="0.4">
      <c r="A4" s="42" t="s">
        <v>110</v>
      </c>
      <c r="B4" s="43">
        <v>60849</v>
      </c>
      <c r="C4" s="43">
        <v>61787.5</v>
      </c>
      <c r="D4" s="43">
        <v>64042</v>
      </c>
      <c r="E4" s="51">
        <v>59784</v>
      </c>
      <c r="F4" s="58">
        <v>4815.75</v>
      </c>
      <c r="G4" s="59">
        <v>4815.75</v>
      </c>
      <c r="H4" s="59">
        <v>4815.75</v>
      </c>
      <c r="I4" s="60">
        <v>4815.75</v>
      </c>
      <c r="J4" s="58">
        <v>9927.3799999999992</v>
      </c>
      <c r="K4" s="59">
        <v>9927.3799999999992</v>
      </c>
      <c r="L4" s="59">
        <v>9927.3799999999992</v>
      </c>
      <c r="M4" s="60">
        <v>9927.3799999999992</v>
      </c>
      <c r="N4" s="58">
        <f>15375.75*0.995</f>
        <v>15298.87125</v>
      </c>
      <c r="O4" s="58">
        <f t="shared" ref="O4:Q4" si="0">15375.75*0.995</f>
        <v>15298.87125</v>
      </c>
      <c r="P4" s="58">
        <f t="shared" si="0"/>
        <v>15298.87125</v>
      </c>
      <c r="Q4" s="58">
        <f t="shared" si="0"/>
        <v>15298.87125</v>
      </c>
      <c r="R4" s="58">
        <f>16511.2*0.985</f>
        <v>16263.532000000001</v>
      </c>
      <c r="S4" s="58">
        <f t="shared" ref="S4:V4" si="1">16511.2*0.985</f>
        <v>16263.532000000001</v>
      </c>
      <c r="T4" s="58">
        <f t="shared" si="1"/>
        <v>16263.532000000001</v>
      </c>
      <c r="U4" s="58">
        <f t="shared" si="1"/>
        <v>16263.532000000001</v>
      </c>
      <c r="V4" s="58">
        <f t="shared" si="1"/>
        <v>16263.532000000001</v>
      </c>
      <c r="W4" s="58">
        <f>25796.63*0.98</f>
        <v>25280.697400000001</v>
      </c>
      <c r="X4" s="58">
        <f>25796.63*0.979</f>
        <v>25254.90077</v>
      </c>
      <c r="Y4" s="58">
        <f>25796.63*0.978</f>
        <v>25229.104139999999</v>
      </c>
      <c r="Z4" s="58">
        <f>25796.63*0.976</f>
        <v>25177.510880000002</v>
      </c>
      <c r="AA4" s="58"/>
      <c r="AB4" s="59"/>
      <c r="AC4" s="59"/>
      <c r="AD4" s="60"/>
      <c r="AE4" s="44"/>
      <c r="AF4" s="43"/>
      <c r="AG4" s="43"/>
      <c r="AH4" s="43"/>
      <c r="AI4" s="45"/>
      <c r="AJ4" s="44"/>
      <c r="AK4" s="43"/>
      <c r="AL4" s="43"/>
      <c r="AM4" s="45"/>
      <c r="AN4" s="44"/>
      <c r="AO4" s="43"/>
      <c r="AP4" s="43"/>
      <c r="AQ4" s="43"/>
      <c r="AR4" s="45"/>
      <c r="AS4" s="44"/>
      <c r="AT4" s="43"/>
      <c r="AU4" s="43"/>
      <c r="AV4" s="45"/>
      <c r="AW4" s="44"/>
      <c r="AX4" s="43"/>
      <c r="AY4" s="43"/>
      <c r="AZ4" s="45"/>
      <c r="BA4" s="44"/>
      <c r="BB4" s="43"/>
      <c r="BC4" s="43"/>
      <c r="BD4" s="43"/>
      <c r="BE4" s="45"/>
    </row>
    <row r="6" spans="1:57" ht="14.45" x14ac:dyDescent="0.35">
      <c r="A6" t="s">
        <v>115</v>
      </c>
    </row>
    <row r="7" spans="1:57" ht="14.45" x14ac:dyDescent="0.35">
      <c r="A7" t="s">
        <v>116</v>
      </c>
    </row>
    <row r="8" spans="1:57" thickBot="1" x14ac:dyDescent="0.4"/>
    <row r="9" spans="1:57" s="32" customFormat="1" ht="14.45" x14ac:dyDescent="0.35">
      <c r="A9" s="32" t="s">
        <v>108</v>
      </c>
      <c r="B9" s="139">
        <v>2015</v>
      </c>
      <c r="C9" s="140"/>
      <c r="D9" s="140"/>
      <c r="E9" s="140"/>
      <c r="F9" s="141">
        <v>42385</v>
      </c>
      <c r="G9" s="142"/>
      <c r="H9" s="142"/>
      <c r="I9" s="143"/>
      <c r="J9" s="141">
        <v>42416</v>
      </c>
      <c r="K9" s="142"/>
      <c r="L9" s="142"/>
      <c r="M9" s="143"/>
      <c r="N9" s="144">
        <v>42445</v>
      </c>
      <c r="O9" s="145"/>
      <c r="P9" s="145"/>
      <c r="Q9" s="146"/>
      <c r="R9" s="144">
        <v>42476</v>
      </c>
      <c r="S9" s="145"/>
      <c r="T9" s="145"/>
      <c r="U9" s="145"/>
      <c r="V9" s="146"/>
      <c r="W9" s="144">
        <v>42506</v>
      </c>
      <c r="X9" s="145"/>
      <c r="Y9" s="145"/>
      <c r="Z9" s="146"/>
      <c r="AA9" s="144">
        <v>42537</v>
      </c>
      <c r="AB9" s="145"/>
      <c r="AC9" s="145"/>
      <c r="AD9" s="146"/>
      <c r="AE9" s="144">
        <v>42567</v>
      </c>
      <c r="AF9" s="145"/>
      <c r="AG9" s="145"/>
      <c r="AH9" s="145"/>
      <c r="AI9" s="146"/>
      <c r="AJ9" s="144">
        <v>42598</v>
      </c>
      <c r="AK9" s="145"/>
      <c r="AL9" s="145"/>
      <c r="AM9" s="146"/>
      <c r="AN9" s="144">
        <v>42629</v>
      </c>
      <c r="AO9" s="145"/>
      <c r="AP9" s="145"/>
      <c r="AQ9" s="145"/>
      <c r="AR9" s="146"/>
      <c r="AS9" s="144">
        <v>42659</v>
      </c>
      <c r="AT9" s="145"/>
      <c r="AU9" s="145"/>
      <c r="AV9" s="146"/>
      <c r="AW9" s="144">
        <v>42690</v>
      </c>
      <c r="AX9" s="145"/>
      <c r="AY9" s="145"/>
      <c r="AZ9" s="146"/>
      <c r="BA9" s="144">
        <v>42720</v>
      </c>
      <c r="BB9" s="145"/>
      <c r="BC9" s="145"/>
      <c r="BD9" s="145"/>
      <c r="BE9" s="146"/>
    </row>
    <row r="10" spans="1:57" ht="14.45" x14ac:dyDescent="0.35">
      <c r="B10" s="28" t="s">
        <v>48</v>
      </c>
      <c r="C10" s="28" t="s">
        <v>49</v>
      </c>
      <c r="D10" s="28" t="s">
        <v>50</v>
      </c>
      <c r="E10" s="33" t="s">
        <v>51</v>
      </c>
      <c r="F10" s="35" t="s">
        <v>52</v>
      </c>
      <c r="G10" s="28" t="s">
        <v>53</v>
      </c>
      <c r="H10" s="28" t="s">
        <v>54</v>
      </c>
      <c r="I10" s="36" t="s">
        <v>55</v>
      </c>
      <c r="J10" s="35" t="s">
        <v>56</v>
      </c>
      <c r="K10" s="28" t="s">
        <v>57</v>
      </c>
      <c r="L10" s="28" t="s">
        <v>58</v>
      </c>
      <c r="M10" s="36" t="s">
        <v>59</v>
      </c>
      <c r="N10" s="35" t="s">
        <v>60</v>
      </c>
      <c r="O10" s="28" t="s">
        <v>61</v>
      </c>
      <c r="P10" s="28" t="s">
        <v>62</v>
      </c>
      <c r="Q10" s="36" t="s">
        <v>63</v>
      </c>
      <c r="R10" s="35" t="s">
        <v>64</v>
      </c>
      <c r="S10" s="28" t="s">
        <v>65</v>
      </c>
      <c r="T10" s="28" t="s">
        <v>66</v>
      </c>
      <c r="U10" s="28" t="s">
        <v>67</v>
      </c>
      <c r="V10" s="36" t="s">
        <v>68</v>
      </c>
      <c r="W10" s="35" t="s">
        <v>69</v>
      </c>
      <c r="X10" s="28" t="s">
        <v>70</v>
      </c>
      <c r="Y10" s="28" t="s">
        <v>71</v>
      </c>
      <c r="Z10" s="36" t="s">
        <v>72</v>
      </c>
      <c r="AA10" s="35" t="s">
        <v>73</v>
      </c>
      <c r="AB10" s="28" t="s">
        <v>74</v>
      </c>
      <c r="AC10" s="28" t="s">
        <v>75</v>
      </c>
      <c r="AD10" s="36" t="s">
        <v>76</v>
      </c>
      <c r="AE10" s="35" t="s">
        <v>77</v>
      </c>
      <c r="AF10" s="28" t="s">
        <v>78</v>
      </c>
      <c r="AG10" s="28" t="s">
        <v>79</v>
      </c>
      <c r="AH10" s="28" t="s">
        <v>80</v>
      </c>
      <c r="AI10" s="36" t="s">
        <v>81</v>
      </c>
      <c r="AJ10" s="35" t="s">
        <v>82</v>
      </c>
      <c r="AK10" s="28" t="s">
        <v>83</v>
      </c>
      <c r="AL10" s="28" t="s">
        <v>84</v>
      </c>
      <c r="AM10" s="36" t="s">
        <v>85</v>
      </c>
      <c r="AN10" s="35" t="s">
        <v>86</v>
      </c>
      <c r="AO10" s="28" t="s">
        <v>87</v>
      </c>
      <c r="AP10" s="28" t="s">
        <v>88</v>
      </c>
      <c r="AQ10" s="28" t="s">
        <v>89</v>
      </c>
      <c r="AR10" s="36" t="s">
        <v>90</v>
      </c>
      <c r="AS10" s="35" t="s">
        <v>91</v>
      </c>
      <c r="AT10" s="28" t="s">
        <v>92</v>
      </c>
      <c r="AU10" s="28" t="s">
        <v>93</v>
      </c>
      <c r="AV10" s="36" t="s">
        <v>94</v>
      </c>
      <c r="AW10" s="35" t="s">
        <v>95</v>
      </c>
      <c r="AX10" s="28" t="s">
        <v>96</v>
      </c>
      <c r="AY10" s="28" t="s">
        <v>97</v>
      </c>
      <c r="AZ10" s="36" t="s">
        <v>98</v>
      </c>
      <c r="BA10" s="35" t="s">
        <v>99</v>
      </c>
      <c r="BB10" s="28" t="s">
        <v>100</v>
      </c>
      <c r="BC10" s="28" t="s">
        <v>101</v>
      </c>
      <c r="BD10" s="28" t="s">
        <v>102</v>
      </c>
      <c r="BE10" s="36" t="s">
        <v>103</v>
      </c>
    </row>
    <row r="11" spans="1:57" ht="14.45" x14ac:dyDescent="0.35">
      <c r="A11" t="s">
        <v>104</v>
      </c>
      <c r="B11" s="29">
        <f>B3/B4</f>
        <v>0.42135450048480666</v>
      </c>
      <c r="C11" s="29">
        <f t="shared" ref="C11:E11" si="2">C3/C4</f>
        <v>0.41623305684806799</v>
      </c>
      <c r="D11" s="29">
        <f t="shared" si="2"/>
        <v>0.41652353143249743</v>
      </c>
      <c r="E11" s="29">
        <f t="shared" si="2"/>
        <v>0.41391409072661578</v>
      </c>
      <c r="F11" s="29">
        <f>F3/F4</f>
        <v>0.41343508280122515</v>
      </c>
      <c r="G11" s="29">
        <f t="shared" ref="G11:BE11" si="3">G3/G4</f>
        <v>0.41343508280122515</v>
      </c>
      <c r="H11" s="29">
        <f t="shared" si="3"/>
        <v>0.41343508280122515</v>
      </c>
      <c r="I11" s="29">
        <f t="shared" si="3"/>
        <v>0.41343508280122515</v>
      </c>
      <c r="J11" s="29">
        <f t="shared" si="3"/>
        <v>0.4170032778034084</v>
      </c>
      <c r="K11" s="29">
        <f t="shared" si="3"/>
        <v>0.4170032778034084</v>
      </c>
      <c r="L11" s="29">
        <f t="shared" si="3"/>
        <v>0.4170032778034084</v>
      </c>
      <c r="M11" s="29">
        <f t="shared" si="3"/>
        <v>0.4170032778034084</v>
      </c>
      <c r="N11" s="29">
        <f t="shared" si="3"/>
        <v>0.41869101944367298</v>
      </c>
      <c r="O11" s="29">
        <f t="shared" si="3"/>
        <v>0.41869101944367298</v>
      </c>
      <c r="P11" s="29">
        <f t="shared" si="3"/>
        <v>0.41869101944367298</v>
      </c>
      <c r="Q11" s="29">
        <f t="shared" si="3"/>
        <v>0.41869101944367298</v>
      </c>
      <c r="R11" s="29">
        <f t="shared" si="3"/>
        <v>0.42160583568194165</v>
      </c>
      <c r="S11" s="29">
        <f t="shared" si="3"/>
        <v>0.42160583568194165</v>
      </c>
      <c r="T11" s="29">
        <f t="shared" si="3"/>
        <v>0.42160583568194165</v>
      </c>
      <c r="U11" s="29">
        <f t="shared" si="3"/>
        <v>0.42160583568194165</v>
      </c>
      <c r="V11" s="29">
        <f t="shared" si="3"/>
        <v>0.42160583568194165</v>
      </c>
      <c r="W11" s="29">
        <f t="shared" si="3"/>
        <v>0.42387082248767394</v>
      </c>
      <c r="X11" s="29">
        <f t="shared" si="3"/>
        <v>0.42430378553413733</v>
      </c>
      <c r="Y11" s="29">
        <f t="shared" si="3"/>
        <v>0.42473763398560377</v>
      </c>
      <c r="Z11" s="29">
        <f t="shared" si="3"/>
        <v>0.42560799798967258</v>
      </c>
      <c r="AA11" s="29" t="e">
        <f t="shared" si="3"/>
        <v>#DIV/0!</v>
      </c>
      <c r="AB11" s="29" t="e">
        <f t="shared" si="3"/>
        <v>#DIV/0!</v>
      </c>
      <c r="AC11" s="29" t="e">
        <f t="shared" si="3"/>
        <v>#DIV/0!</v>
      </c>
      <c r="AD11" s="29" t="e">
        <f t="shared" si="3"/>
        <v>#DIV/0!</v>
      </c>
      <c r="AE11" s="29" t="e">
        <f t="shared" si="3"/>
        <v>#DIV/0!</v>
      </c>
      <c r="AF11" s="29" t="e">
        <f t="shared" si="3"/>
        <v>#DIV/0!</v>
      </c>
      <c r="AG11" s="29" t="e">
        <f t="shared" si="3"/>
        <v>#DIV/0!</v>
      </c>
      <c r="AH11" s="29" t="e">
        <f t="shared" si="3"/>
        <v>#DIV/0!</v>
      </c>
      <c r="AI11" s="29" t="e">
        <f t="shared" si="3"/>
        <v>#DIV/0!</v>
      </c>
      <c r="AJ11" s="29" t="e">
        <f t="shared" si="3"/>
        <v>#DIV/0!</v>
      </c>
      <c r="AK11" s="29" t="e">
        <f t="shared" si="3"/>
        <v>#DIV/0!</v>
      </c>
      <c r="AL11" s="29" t="e">
        <f t="shared" si="3"/>
        <v>#DIV/0!</v>
      </c>
      <c r="AM11" s="29" t="e">
        <f t="shared" si="3"/>
        <v>#DIV/0!</v>
      </c>
      <c r="AN11" s="29" t="e">
        <f t="shared" si="3"/>
        <v>#DIV/0!</v>
      </c>
      <c r="AO11" s="29" t="e">
        <f t="shared" si="3"/>
        <v>#DIV/0!</v>
      </c>
      <c r="AP11" s="29" t="e">
        <f t="shared" si="3"/>
        <v>#DIV/0!</v>
      </c>
      <c r="AQ11" s="29" t="e">
        <f t="shared" si="3"/>
        <v>#DIV/0!</v>
      </c>
      <c r="AR11" s="29" t="e">
        <f t="shared" si="3"/>
        <v>#DIV/0!</v>
      </c>
      <c r="AS11" s="29" t="e">
        <f t="shared" si="3"/>
        <v>#DIV/0!</v>
      </c>
      <c r="AT11" s="29" t="e">
        <f t="shared" si="3"/>
        <v>#DIV/0!</v>
      </c>
      <c r="AU11" s="29" t="e">
        <f t="shared" si="3"/>
        <v>#DIV/0!</v>
      </c>
      <c r="AV11" s="29" t="e">
        <f t="shared" si="3"/>
        <v>#DIV/0!</v>
      </c>
      <c r="AW11" s="29" t="e">
        <f t="shared" si="3"/>
        <v>#DIV/0!</v>
      </c>
      <c r="AX11" s="29" t="e">
        <f t="shared" si="3"/>
        <v>#DIV/0!</v>
      </c>
      <c r="AY11" s="29" t="e">
        <f t="shared" si="3"/>
        <v>#DIV/0!</v>
      </c>
      <c r="AZ11" s="29" t="e">
        <f t="shared" si="3"/>
        <v>#DIV/0!</v>
      </c>
      <c r="BA11" s="29" t="e">
        <f t="shared" si="3"/>
        <v>#DIV/0!</v>
      </c>
      <c r="BB11" s="29" t="e">
        <f t="shared" si="3"/>
        <v>#DIV/0!</v>
      </c>
      <c r="BC11" s="29" t="e">
        <f t="shared" si="3"/>
        <v>#DIV/0!</v>
      </c>
      <c r="BD11" s="29" t="e">
        <f t="shared" si="3"/>
        <v>#DIV/0!</v>
      </c>
      <c r="BE11" s="29" t="e">
        <f t="shared" si="3"/>
        <v>#DIV/0!</v>
      </c>
    </row>
    <row r="12" spans="1:57" ht="14.45" x14ac:dyDescent="0.35">
      <c r="A12" t="s">
        <v>114</v>
      </c>
      <c r="B12" s="30">
        <f>B11/B13-1</f>
        <v>3.2250011543015766E-3</v>
      </c>
      <c r="C12" s="29">
        <f>(AVERAGE($B11:C11))/C13-1</f>
        <v>-2.8719555561016463E-3</v>
      </c>
      <c r="D12" s="29">
        <f>(AVERAGE($B11:D11))/D13-1</f>
        <v>-4.6737390751017127E-3</v>
      </c>
      <c r="E12" s="29">
        <f>(AVERAGE($B11:E11))/E13-1</f>
        <v>-7.1278693500073098E-3</v>
      </c>
      <c r="F12" s="63">
        <f>F11/F13-1</f>
        <v>-7.0642255202499893E-3</v>
      </c>
      <c r="G12" s="29">
        <f>(SUM($F3:G3)/SUM($F4:G4))/G13-1</f>
        <v>-7.0642255202499893E-3</v>
      </c>
      <c r="H12" s="29">
        <f>(SUM($F3:H3)/SUM($F4:H4))/H13-1</f>
        <v>-7.0642255202499893E-3</v>
      </c>
      <c r="I12" s="29">
        <f>(SUM($F3:I3)/SUM($F4:I4))/I13-1</f>
        <v>-7.0642255202499893E-3</v>
      </c>
      <c r="J12" s="29">
        <f>(SUM($F3:J3)/SUM($F4:J4))/J13-1</f>
        <v>-4.1497708195136207E-3</v>
      </c>
      <c r="K12" s="29">
        <f>(SUM($F3:K3)/SUM($F4:K4))/K13-1</f>
        <v>-2.7145879025908259E-3</v>
      </c>
      <c r="L12" s="29">
        <f>(SUM($F3:L3)/SUM($F4:L4))/L13-1</f>
        <v>-1.8604047008611291E-3</v>
      </c>
      <c r="M12" s="29">
        <f>(SUM($F3:M3)/SUM($F4:M4))/M13-1</f>
        <v>-1.2938063346848994E-3</v>
      </c>
      <c r="N12" s="29">
        <f>(SUM($F3:N3)/SUM($F4:N4))/N13-1</f>
        <v>1.1773799381686878E-4</v>
      </c>
      <c r="O12" s="29">
        <f>(SUM($F3:O3)/SUM($F4:O4))/O13-1</f>
        <v>1.0470902567227824E-3</v>
      </c>
      <c r="P12" s="29">
        <f>(SUM($F3:P3)/SUM($F4:P4))/P13-1</f>
        <v>1.7052847421650252E-3</v>
      </c>
      <c r="Q12" s="29">
        <f>(SUM($F3:Q3)/SUM($F4:Q4))/Q13-1</f>
        <v>2.1958866526912146E-3</v>
      </c>
      <c r="R12" s="29">
        <f>(SUM($F3:R3)/SUM($F4:R4))/R13-1</f>
        <v>3.4312672685985479E-3</v>
      </c>
      <c r="S12" s="29">
        <f>(SUM($F3:S3)/SUM($F4:S4))/S13-1</f>
        <v>4.4034874260761026E-3</v>
      </c>
      <c r="T12" s="29">
        <f>(SUM($F3:T3)/SUM($F4:T4))/T13-1</f>
        <v>5.1885406261027445E-3</v>
      </c>
      <c r="U12" s="29">
        <f>(SUM($F3:U3)/SUM($F4:U4))/U13-1</f>
        <v>5.8357297638433892E-3</v>
      </c>
      <c r="V12" s="29">
        <f>(SUM($F3:V3)/SUM($F4:V4))/V13-1</f>
        <v>6.3784391982590893E-3</v>
      </c>
      <c r="W12" s="29">
        <f>(SUM($F3:W3)/SUM($F4:W4))/W13-1</f>
        <v>7.6739401448757683E-3</v>
      </c>
      <c r="X12" s="29">
        <f>(SUM($F3:X3)/SUM($F4:X4))/X13-1</f>
        <v>8.8128101668791814E-3</v>
      </c>
      <c r="Y12" s="29">
        <f>(SUM($F3:Y3)/SUM($F4:Y4))/Y13-1</f>
        <v>9.8381699732430494E-3</v>
      </c>
      <c r="Z12" s="29">
        <f>(SUM($F3:Z3)/SUM($F4:Z4))/Z13-1</f>
        <v>1.0864905070296027E-2</v>
      </c>
      <c r="AA12" s="29">
        <f>(SUM($F3:AA3)/SUM($F4:AA4))/AA13-1</f>
        <v>1.0864905070296027E-2</v>
      </c>
      <c r="AB12" s="29">
        <f>(SUM($F3:AB3)/SUM($F4:AB4))/AB13-1</f>
        <v>1.0864905070296027E-2</v>
      </c>
      <c r="AC12" s="29">
        <f>(SUM($F3:AC3)/SUM($F4:AC4))/AC13-1</f>
        <v>1.0864905070296027E-2</v>
      </c>
      <c r="AD12" s="29">
        <f>(SUM($F3:AD3)/SUM($F4:AD4))/AD13-1</f>
        <v>1.0864905070296027E-2</v>
      </c>
      <c r="AE12" s="29">
        <f>(SUM($F3:AE3)/SUM($F4:AE4))/AE13-1</f>
        <v>1.0864905070296027E-2</v>
      </c>
      <c r="AF12" s="29">
        <f>(SUM($F3:AF3)/SUM($F4:AF4))/AF13-1</f>
        <v>1.0864905070296027E-2</v>
      </c>
      <c r="AG12" s="29">
        <f>(SUM($F3:AG3)/SUM($F4:AG4))/AG13-1</f>
        <v>1.0864905070296027E-2</v>
      </c>
      <c r="AH12" s="29">
        <f>(SUM($F3:AH3)/SUM($F4:AH4))/AH13-1</f>
        <v>1.0864905070296027E-2</v>
      </c>
      <c r="AI12" s="29">
        <f>(SUM($F3:AI3)/SUM($F4:AI4))/AI13-1</f>
        <v>1.0864905070296027E-2</v>
      </c>
      <c r="AJ12" s="29">
        <f>(SUM($F3:AJ3)/SUM($F4:AJ4))/AJ13-1</f>
        <v>1.0864905070296027E-2</v>
      </c>
      <c r="AK12" s="29">
        <f>(SUM($F3:AK3)/SUM($F4:AK4))/AK13-1</f>
        <v>1.0864905070296027E-2</v>
      </c>
      <c r="AL12" s="29">
        <f>(SUM($F3:AL3)/SUM($F4:AL4))/AL13-1</f>
        <v>1.0864905070296027E-2</v>
      </c>
      <c r="AM12" s="29">
        <f>(SUM($F3:AM3)/SUM($F4:AM4))/AM13-1</f>
        <v>1.0864905070296027E-2</v>
      </c>
      <c r="AN12" s="29">
        <f>(SUM($F3:AN3)/SUM($F4:AN4))/AN13-1</f>
        <v>1.0864905070296027E-2</v>
      </c>
      <c r="AO12" s="29">
        <f>(SUM($F3:AO3)/SUM($F4:AO4))/AO13-1</f>
        <v>1.0864905070296027E-2</v>
      </c>
      <c r="AP12" s="29">
        <f>(SUM($F3:AP3)/SUM($F4:AP4))/AP13-1</f>
        <v>1.0864905070296027E-2</v>
      </c>
      <c r="AQ12" s="29">
        <f>(SUM($F3:AQ3)/SUM($F4:AQ4))/AQ13-1</f>
        <v>1.0864905070296027E-2</v>
      </c>
      <c r="AR12" s="29">
        <f>(SUM($F3:AR3)/SUM($F4:AR4))/AR13-1</f>
        <v>1.0864905070296027E-2</v>
      </c>
      <c r="AS12" s="29">
        <f>(SUM($F3:AS3)/SUM($F4:AS4))/AS13-1</f>
        <v>1.0864905070296027E-2</v>
      </c>
      <c r="AT12" s="29">
        <f>(SUM($F3:AT3)/SUM($F4:AT4))/AT13-1</f>
        <v>1.0864905070296027E-2</v>
      </c>
      <c r="AU12" s="29">
        <f>(SUM($F3:AU3)/SUM($F4:AU4))/AU13-1</f>
        <v>1.0864905070296027E-2</v>
      </c>
      <c r="AV12" s="29">
        <f>(SUM($F3:AV3)/SUM($F4:AV4))/AV13-1</f>
        <v>1.0864905070296027E-2</v>
      </c>
      <c r="AW12" s="29">
        <f>(SUM($F3:AW3)/SUM($F4:AW4))/AW13-1</f>
        <v>1.0864905070296027E-2</v>
      </c>
      <c r="AX12" s="29">
        <f>(SUM($F3:AX3)/SUM($F4:AX4))/AX13-1</f>
        <v>1.0864905070296027E-2</v>
      </c>
      <c r="AY12" s="29">
        <f>(SUM($F3:AY3)/SUM($F4:AY4))/AY13-1</f>
        <v>1.0864905070296027E-2</v>
      </c>
      <c r="AZ12" s="29">
        <f>(SUM($F3:AZ3)/SUM($F4:AZ4))/AZ13-1</f>
        <v>1.0864905070296027E-2</v>
      </c>
      <c r="BA12" s="29">
        <f>(SUM($F3:BA3)/SUM($F4:BA4))/BA13-1</f>
        <v>1.0864905070296027E-2</v>
      </c>
      <c r="BB12" s="29">
        <f>(SUM($F3:BB3)/SUM($F4:BB4))/BB13-1</f>
        <v>1.0864905070296027E-2</v>
      </c>
      <c r="BC12" s="29">
        <f>(SUM($F3:BC3)/SUM($F4:BC4))/BC13-1</f>
        <v>1.0864905070296027E-2</v>
      </c>
      <c r="BD12" s="29">
        <f>(SUM($F3:BD3)/SUM($F4:BD4))/BD13-1</f>
        <v>1.0864905070296027E-2</v>
      </c>
      <c r="BE12" s="29">
        <f>(SUM($F3:BE3)/SUM($F4:BE4))/BE13-1</f>
        <v>1.0864905070296027E-2</v>
      </c>
    </row>
    <row r="13" spans="1:57" ht="14.45" x14ac:dyDescent="0.35">
      <c r="A13" t="s">
        <v>47</v>
      </c>
      <c r="B13" s="29">
        <v>0.42</v>
      </c>
      <c r="C13" s="29">
        <v>0.42</v>
      </c>
      <c r="D13" s="29">
        <v>0.42</v>
      </c>
      <c r="E13" s="34">
        <v>0.42</v>
      </c>
      <c r="F13" s="37">
        <f>AVERAGE(F11:Q11)</f>
        <v>0.41637646001610223</v>
      </c>
      <c r="G13" s="29">
        <f>F13</f>
        <v>0.41637646001610223</v>
      </c>
      <c r="H13" s="29">
        <f t="shared" ref="H13:BE13" si="4">G13</f>
        <v>0.41637646001610223</v>
      </c>
      <c r="I13" s="38">
        <f t="shared" si="4"/>
        <v>0.41637646001610223</v>
      </c>
      <c r="J13" s="37">
        <f t="shared" si="4"/>
        <v>0.41637646001610223</v>
      </c>
      <c r="K13" s="29">
        <f t="shared" si="4"/>
        <v>0.41637646001610223</v>
      </c>
      <c r="L13" s="29">
        <f t="shared" si="4"/>
        <v>0.41637646001610223</v>
      </c>
      <c r="M13" s="38">
        <f t="shared" si="4"/>
        <v>0.41637646001610223</v>
      </c>
      <c r="N13" s="37">
        <f t="shared" si="4"/>
        <v>0.41637646001610223</v>
      </c>
      <c r="O13" s="29">
        <f t="shared" si="4"/>
        <v>0.41637646001610223</v>
      </c>
      <c r="P13" s="29">
        <f t="shared" si="4"/>
        <v>0.41637646001610223</v>
      </c>
      <c r="Q13" s="38">
        <f t="shared" si="4"/>
        <v>0.41637646001610223</v>
      </c>
      <c r="R13" s="37">
        <f t="shared" si="4"/>
        <v>0.41637646001610223</v>
      </c>
      <c r="S13" s="29">
        <f t="shared" si="4"/>
        <v>0.41637646001610223</v>
      </c>
      <c r="T13" s="29">
        <f t="shared" si="4"/>
        <v>0.41637646001610223</v>
      </c>
      <c r="U13" s="29">
        <f t="shared" si="4"/>
        <v>0.41637646001610223</v>
      </c>
      <c r="V13" s="38">
        <f t="shared" si="4"/>
        <v>0.41637646001610223</v>
      </c>
      <c r="W13" s="37">
        <f t="shared" si="4"/>
        <v>0.41637646001610223</v>
      </c>
      <c r="X13" s="29">
        <f t="shared" si="4"/>
        <v>0.41637646001610223</v>
      </c>
      <c r="Y13" s="29">
        <f t="shared" si="4"/>
        <v>0.41637646001610223</v>
      </c>
      <c r="Z13" s="38">
        <f t="shared" si="4"/>
        <v>0.41637646001610223</v>
      </c>
      <c r="AA13" s="37">
        <f t="shared" si="4"/>
        <v>0.41637646001610223</v>
      </c>
      <c r="AB13" s="29">
        <f t="shared" si="4"/>
        <v>0.41637646001610223</v>
      </c>
      <c r="AC13" s="29">
        <f t="shared" si="4"/>
        <v>0.41637646001610223</v>
      </c>
      <c r="AD13" s="38">
        <f t="shared" si="4"/>
        <v>0.41637646001610223</v>
      </c>
      <c r="AE13" s="37">
        <f t="shared" si="4"/>
        <v>0.41637646001610223</v>
      </c>
      <c r="AF13" s="29">
        <f t="shared" si="4"/>
        <v>0.41637646001610223</v>
      </c>
      <c r="AG13" s="29">
        <f t="shared" si="4"/>
        <v>0.41637646001610223</v>
      </c>
      <c r="AH13" s="29">
        <f t="shared" si="4"/>
        <v>0.41637646001610223</v>
      </c>
      <c r="AI13" s="38">
        <f t="shared" si="4"/>
        <v>0.41637646001610223</v>
      </c>
      <c r="AJ13" s="37">
        <f t="shared" si="4"/>
        <v>0.41637646001610223</v>
      </c>
      <c r="AK13" s="29">
        <f t="shared" si="4"/>
        <v>0.41637646001610223</v>
      </c>
      <c r="AL13" s="29">
        <f t="shared" si="4"/>
        <v>0.41637646001610223</v>
      </c>
      <c r="AM13" s="38">
        <f t="shared" si="4"/>
        <v>0.41637646001610223</v>
      </c>
      <c r="AN13" s="37">
        <f t="shared" si="4"/>
        <v>0.41637646001610223</v>
      </c>
      <c r="AO13" s="29">
        <f t="shared" si="4"/>
        <v>0.41637646001610223</v>
      </c>
      <c r="AP13" s="29">
        <f t="shared" si="4"/>
        <v>0.41637646001610223</v>
      </c>
      <c r="AQ13" s="29">
        <f t="shared" si="4"/>
        <v>0.41637646001610223</v>
      </c>
      <c r="AR13" s="38">
        <f t="shared" si="4"/>
        <v>0.41637646001610223</v>
      </c>
      <c r="AS13" s="37">
        <f t="shared" si="4"/>
        <v>0.41637646001610223</v>
      </c>
      <c r="AT13" s="29">
        <f t="shared" si="4"/>
        <v>0.41637646001610223</v>
      </c>
      <c r="AU13" s="29">
        <f t="shared" si="4"/>
        <v>0.41637646001610223</v>
      </c>
      <c r="AV13" s="38">
        <f t="shared" si="4"/>
        <v>0.41637646001610223</v>
      </c>
      <c r="AW13" s="37">
        <f t="shared" si="4"/>
        <v>0.41637646001610223</v>
      </c>
      <c r="AX13" s="29">
        <f t="shared" si="4"/>
        <v>0.41637646001610223</v>
      </c>
      <c r="AY13" s="29">
        <f t="shared" si="4"/>
        <v>0.41637646001610223</v>
      </c>
      <c r="AZ13" s="38">
        <f t="shared" si="4"/>
        <v>0.41637646001610223</v>
      </c>
      <c r="BA13" s="37">
        <f t="shared" si="4"/>
        <v>0.41637646001610223</v>
      </c>
      <c r="BB13" s="29">
        <f t="shared" si="4"/>
        <v>0.41637646001610223</v>
      </c>
      <c r="BC13" s="29">
        <f t="shared" si="4"/>
        <v>0.41637646001610223</v>
      </c>
      <c r="BD13" s="29">
        <f t="shared" si="4"/>
        <v>0.41637646001610223</v>
      </c>
      <c r="BE13" s="38">
        <f t="shared" si="4"/>
        <v>0.41637646001610223</v>
      </c>
    </row>
    <row r="14" spans="1:57" thickBot="1" x14ac:dyDescent="0.4">
      <c r="A14" t="s">
        <v>105</v>
      </c>
      <c r="B14" s="29">
        <f>B11/B13-1</f>
        <v>3.2250011543015766E-3</v>
      </c>
      <c r="C14" s="29">
        <f t="shared" ref="C14:E14" si="5">C11/C13-1</f>
        <v>-8.9689122665047583E-3</v>
      </c>
      <c r="D14" s="29">
        <f t="shared" si="5"/>
        <v>-8.2773061131012904E-3</v>
      </c>
      <c r="E14" s="34">
        <f t="shared" si="5"/>
        <v>-1.4490260174724323E-2</v>
      </c>
      <c r="F14" s="39">
        <f>F11/F13-1</f>
        <v>-7.0642255202499893E-3</v>
      </c>
      <c r="G14" s="40">
        <f t="shared" ref="G14:BE14" si="6">G11/G13-1</f>
        <v>-7.0642255202499893E-3</v>
      </c>
      <c r="H14" s="40">
        <f t="shared" si="6"/>
        <v>-7.0642255202499893E-3</v>
      </c>
      <c r="I14" s="41">
        <f t="shared" si="6"/>
        <v>-7.0642255202499893E-3</v>
      </c>
      <c r="J14" s="39">
        <f t="shared" si="6"/>
        <v>1.5054112023573651E-3</v>
      </c>
      <c r="K14" s="40">
        <f t="shared" si="6"/>
        <v>1.5054112023573651E-3</v>
      </c>
      <c r="L14" s="40">
        <f t="shared" si="6"/>
        <v>1.5054112023573651E-3</v>
      </c>
      <c r="M14" s="41">
        <f t="shared" si="6"/>
        <v>1.5054112023573651E-3</v>
      </c>
      <c r="N14" s="39">
        <f t="shared" si="6"/>
        <v>5.5588143178921801E-3</v>
      </c>
      <c r="O14" s="40">
        <f t="shared" si="6"/>
        <v>5.5588143178921801E-3</v>
      </c>
      <c r="P14" s="40">
        <f t="shared" si="6"/>
        <v>5.5588143178921801E-3</v>
      </c>
      <c r="Q14" s="41">
        <f t="shared" si="6"/>
        <v>5.5588143178921801E-3</v>
      </c>
      <c r="R14" s="39">
        <f t="shared" si="6"/>
        <v>1.2559249064265421E-2</v>
      </c>
      <c r="S14" s="40">
        <f t="shared" si="6"/>
        <v>1.2559249064265421E-2</v>
      </c>
      <c r="T14" s="40">
        <f t="shared" si="6"/>
        <v>1.2559249064265421E-2</v>
      </c>
      <c r="U14" s="40">
        <f t="shared" si="6"/>
        <v>1.2559249064265421E-2</v>
      </c>
      <c r="V14" s="41">
        <f t="shared" si="6"/>
        <v>1.2559249064265421E-2</v>
      </c>
      <c r="W14" s="39">
        <f t="shared" si="6"/>
        <v>1.7999006166875775E-2</v>
      </c>
      <c r="X14" s="40">
        <f t="shared" si="6"/>
        <v>1.9038841719650756E-2</v>
      </c>
      <c r="Y14" s="40">
        <f t="shared" si="6"/>
        <v>2.0080803725499141E-2</v>
      </c>
      <c r="Z14" s="41">
        <f t="shared" si="6"/>
        <v>2.2171133241330132E-2</v>
      </c>
      <c r="AA14" s="39" t="e">
        <f t="shared" si="6"/>
        <v>#DIV/0!</v>
      </c>
      <c r="AB14" s="40" t="e">
        <f t="shared" si="6"/>
        <v>#DIV/0!</v>
      </c>
      <c r="AC14" s="40" t="e">
        <f t="shared" si="6"/>
        <v>#DIV/0!</v>
      </c>
      <c r="AD14" s="41" t="e">
        <f t="shared" si="6"/>
        <v>#DIV/0!</v>
      </c>
      <c r="AE14" s="39" t="e">
        <f t="shared" si="6"/>
        <v>#DIV/0!</v>
      </c>
      <c r="AF14" s="40" t="e">
        <f t="shared" si="6"/>
        <v>#DIV/0!</v>
      </c>
      <c r="AG14" s="40" t="e">
        <f t="shared" si="6"/>
        <v>#DIV/0!</v>
      </c>
      <c r="AH14" s="40" t="e">
        <f t="shared" si="6"/>
        <v>#DIV/0!</v>
      </c>
      <c r="AI14" s="41" t="e">
        <f t="shared" si="6"/>
        <v>#DIV/0!</v>
      </c>
      <c r="AJ14" s="39" t="e">
        <f t="shared" si="6"/>
        <v>#DIV/0!</v>
      </c>
      <c r="AK14" s="40" t="e">
        <f t="shared" si="6"/>
        <v>#DIV/0!</v>
      </c>
      <c r="AL14" s="40" t="e">
        <f t="shared" si="6"/>
        <v>#DIV/0!</v>
      </c>
      <c r="AM14" s="41" t="e">
        <f t="shared" si="6"/>
        <v>#DIV/0!</v>
      </c>
      <c r="AN14" s="39" t="e">
        <f t="shared" si="6"/>
        <v>#DIV/0!</v>
      </c>
      <c r="AO14" s="40" t="e">
        <f t="shared" si="6"/>
        <v>#DIV/0!</v>
      </c>
      <c r="AP14" s="40" t="e">
        <f t="shared" si="6"/>
        <v>#DIV/0!</v>
      </c>
      <c r="AQ14" s="40" t="e">
        <f t="shared" si="6"/>
        <v>#DIV/0!</v>
      </c>
      <c r="AR14" s="41" t="e">
        <f t="shared" si="6"/>
        <v>#DIV/0!</v>
      </c>
      <c r="AS14" s="39" t="e">
        <f t="shared" si="6"/>
        <v>#DIV/0!</v>
      </c>
      <c r="AT14" s="40" t="e">
        <f t="shared" si="6"/>
        <v>#DIV/0!</v>
      </c>
      <c r="AU14" s="40" t="e">
        <f t="shared" si="6"/>
        <v>#DIV/0!</v>
      </c>
      <c r="AV14" s="41" t="e">
        <f t="shared" si="6"/>
        <v>#DIV/0!</v>
      </c>
      <c r="AW14" s="39" t="e">
        <f t="shared" si="6"/>
        <v>#DIV/0!</v>
      </c>
      <c r="AX14" s="40" t="e">
        <f t="shared" si="6"/>
        <v>#DIV/0!</v>
      </c>
      <c r="AY14" s="40" t="e">
        <f t="shared" si="6"/>
        <v>#DIV/0!</v>
      </c>
      <c r="AZ14" s="41" t="e">
        <f t="shared" si="6"/>
        <v>#DIV/0!</v>
      </c>
      <c r="BA14" s="39" t="e">
        <f t="shared" si="6"/>
        <v>#DIV/0!</v>
      </c>
      <c r="BB14" s="40" t="e">
        <f t="shared" si="6"/>
        <v>#DIV/0!</v>
      </c>
      <c r="BC14" s="40" t="e">
        <f t="shared" si="6"/>
        <v>#DIV/0!</v>
      </c>
      <c r="BD14" s="40" t="e">
        <f t="shared" si="6"/>
        <v>#DIV/0!</v>
      </c>
      <c r="BE14" s="41" t="e">
        <f t="shared" si="6"/>
        <v>#DIV/0!</v>
      </c>
    </row>
    <row r="16" spans="1:57" ht="14.45" x14ac:dyDescent="0.35">
      <c r="F16" t="s">
        <v>112</v>
      </c>
    </row>
    <row r="17" spans="1:17" ht="14.45" x14ac:dyDescent="0.35">
      <c r="B17" s="28" t="s">
        <v>48</v>
      </c>
      <c r="C17" s="28" t="s">
        <v>49</v>
      </c>
      <c r="D17" s="28" t="s">
        <v>50</v>
      </c>
      <c r="E17" s="28" t="s">
        <v>51</v>
      </c>
      <c r="F17" s="31">
        <v>42385</v>
      </c>
      <c r="G17" s="31">
        <v>42416</v>
      </c>
      <c r="H17" s="31">
        <v>42445</v>
      </c>
      <c r="I17" s="31">
        <v>42476</v>
      </c>
      <c r="J17" s="31">
        <v>42506</v>
      </c>
      <c r="K17" s="31">
        <v>42537</v>
      </c>
      <c r="L17" s="31">
        <v>42567</v>
      </c>
      <c r="M17" s="31">
        <v>42598</v>
      </c>
      <c r="N17" s="31">
        <v>42629</v>
      </c>
      <c r="O17" s="31">
        <v>42659</v>
      </c>
      <c r="P17" s="31">
        <v>42690</v>
      </c>
      <c r="Q17" s="31">
        <v>42720</v>
      </c>
    </row>
    <row r="18" spans="1:17" ht="14.45" x14ac:dyDescent="0.35">
      <c r="A18" t="s">
        <v>106</v>
      </c>
      <c r="B18" s="29">
        <f>B11</f>
        <v>0.42135450048480666</v>
      </c>
      <c r="C18" s="29">
        <f t="shared" ref="C18:E18" si="7">C11</f>
        <v>0.41623305684806799</v>
      </c>
      <c r="D18" s="29">
        <f t="shared" si="7"/>
        <v>0.41652353143249743</v>
      </c>
      <c r="E18" s="29">
        <f t="shared" si="7"/>
        <v>0.41391409072661578</v>
      </c>
      <c r="F18" s="29">
        <f>SUM(F3:I3)/SUM(F4:I4)</f>
        <v>0.41343508280122515</v>
      </c>
      <c r="G18" s="29">
        <f>SUM(J3:M3)/SUM(J4:M4)</f>
        <v>0.4170032778034084</v>
      </c>
      <c r="H18" s="29">
        <f>SUM(N3:Q3)/SUM(N4:Q4)</f>
        <v>0.41869101944367298</v>
      </c>
      <c r="I18" s="29">
        <f>SUM(R3:V3)/SUM(R4:V4)</f>
        <v>0.42160583568194165</v>
      </c>
      <c r="J18" s="29">
        <f>SUM(W3:Z3)/SUM(W4:Z4)</f>
        <v>0.42462908871752669</v>
      </c>
      <c r="K18" s="29" t="e">
        <f>SUM(AA3:AD3)/SUM(AA4:AD4)</f>
        <v>#DIV/0!</v>
      </c>
      <c r="L18" s="29" t="e">
        <f>SUM(AE3:AI3)/SUM(AE4:AI4)</f>
        <v>#DIV/0!</v>
      </c>
      <c r="M18" s="29" t="e">
        <f>SUM(AJ3:AM3)/SUM(AJ4:AM5)</f>
        <v>#DIV/0!</v>
      </c>
      <c r="N18" s="29" t="e">
        <f>SUM(AN3:AR3)/SUM(AN4:AR4)</f>
        <v>#DIV/0!</v>
      </c>
      <c r="O18" s="29" t="e">
        <f>SUM(AS3:AV3)/SUM(AS4:AV4)</f>
        <v>#DIV/0!</v>
      </c>
      <c r="P18" s="29" t="e">
        <f>SUM(AW3:AZ3)/SUM(AW4:AZ4)</f>
        <v>#DIV/0!</v>
      </c>
      <c r="Q18" s="29" t="e">
        <f>SUM(BA3:BE3)/SUM(BA4:BE4)</f>
        <v>#DIV/0!</v>
      </c>
    </row>
    <row r="19" spans="1:17" ht="14.45" x14ac:dyDescent="0.35">
      <c r="A19" t="s">
        <v>114</v>
      </c>
      <c r="B19" s="30">
        <f>B18/B20-1</f>
        <v>3.2250011543015766E-3</v>
      </c>
      <c r="C19" s="29">
        <f>(AVERAGE($B18:C18))/C20-1</f>
        <v>-2.8719555561016463E-3</v>
      </c>
      <c r="D19" s="29">
        <f>(AVERAGE($B18:D18))/D20-1</f>
        <v>-4.6737390751017127E-3</v>
      </c>
      <c r="E19" s="29">
        <f>(AVERAGE($B18:E18))/E20-1</f>
        <v>-7.1278693500073098E-3</v>
      </c>
      <c r="F19" s="30">
        <f>F18/F20-1</f>
        <v>-7.0642255202499893E-3</v>
      </c>
      <c r="G19" s="29">
        <f>(SUM($F3:M3)/SUM($F4:M4))/G20-1</f>
        <v>-1.2938063346848994E-3</v>
      </c>
      <c r="H19" s="29">
        <f>(SUM($F3:N3)/SUM($F4:N4))/H20-1</f>
        <v>1.1773799381686878E-4</v>
      </c>
      <c r="I19" s="29">
        <f>(SUM($F3:O3)/SUM($F4:O4))/I20-1</f>
        <v>1.0470902567227824E-3</v>
      </c>
      <c r="J19" s="29">
        <f>(SUM($F3:P3)/SUM($F4:P4))/J20-1</f>
        <v>1.7052847421650252E-3</v>
      </c>
      <c r="K19" s="29">
        <f>(SUM($F3:Q3)/SUM($F4:Q4))/K20-1</f>
        <v>2.1958866526912146E-3</v>
      </c>
      <c r="L19" s="29">
        <f>(SUM($F3:R3)/SUM($F4:R4))/L20-1</f>
        <v>3.4312672685985479E-3</v>
      </c>
      <c r="M19" s="29">
        <f>(SUM($F3:S3)/SUM($F4:S4))/M20-1</f>
        <v>4.4034874260761026E-3</v>
      </c>
      <c r="N19" s="29">
        <f>(SUM($F3:T3)/SUM($F4:T4))/N20-1</f>
        <v>5.1885406261027445E-3</v>
      </c>
      <c r="O19" s="29">
        <f>(SUM($F3:U3)/SUM($F4:U4))/O20-1</f>
        <v>5.8357297638433892E-3</v>
      </c>
      <c r="P19" s="29">
        <f>(SUM($F3:V3)/SUM($F4:V4))/P20-1</f>
        <v>6.3784391982590893E-3</v>
      </c>
      <c r="Q19" s="29">
        <f>(SUM($F3:W3)/SUM($F4:W4))/Q20-1</f>
        <v>7.6739401448757683E-3</v>
      </c>
    </row>
    <row r="20" spans="1:17" ht="14.45" x14ac:dyDescent="0.35">
      <c r="A20" t="s">
        <v>47</v>
      </c>
      <c r="B20" s="29">
        <v>0.42</v>
      </c>
      <c r="C20" s="29">
        <v>0.42</v>
      </c>
      <c r="D20" s="29">
        <v>0.42</v>
      </c>
      <c r="E20" s="34">
        <v>0.42</v>
      </c>
      <c r="F20" s="29">
        <f>F13</f>
        <v>0.41637646001610223</v>
      </c>
      <c r="G20" s="29">
        <f>F20</f>
        <v>0.41637646001610223</v>
      </c>
      <c r="H20" s="29">
        <f t="shared" ref="H20:Q20" si="8">G20</f>
        <v>0.41637646001610223</v>
      </c>
      <c r="I20" s="29">
        <f t="shared" si="8"/>
        <v>0.41637646001610223</v>
      </c>
      <c r="J20" s="29">
        <f t="shared" si="8"/>
        <v>0.41637646001610223</v>
      </c>
      <c r="K20" s="29">
        <f t="shared" si="8"/>
        <v>0.41637646001610223</v>
      </c>
      <c r="L20" s="29">
        <f t="shared" si="8"/>
        <v>0.41637646001610223</v>
      </c>
      <c r="M20" s="29">
        <f t="shared" si="8"/>
        <v>0.41637646001610223</v>
      </c>
      <c r="N20" s="29">
        <f t="shared" si="8"/>
        <v>0.41637646001610223</v>
      </c>
      <c r="O20" s="29">
        <f t="shared" si="8"/>
        <v>0.41637646001610223</v>
      </c>
      <c r="P20" s="29">
        <f t="shared" si="8"/>
        <v>0.41637646001610223</v>
      </c>
      <c r="Q20" s="29">
        <f t="shared" si="8"/>
        <v>0.41637646001610223</v>
      </c>
    </row>
    <row r="21" spans="1:17" ht="14.45" x14ac:dyDescent="0.35">
      <c r="A21" t="s">
        <v>105</v>
      </c>
      <c r="B21" s="29">
        <f>B18/B20-1</f>
        <v>3.2250011543015766E-3</v>
      </c>
      <c r="C21" s="29">
        <f t="shared" ref="C21" si="9">C18/C20-1</f>
        <v>-8.9689122665047583E-3</v>
      </c>
      <c r="D21" s="29">
        <f t="shared" ref="D21" si="10">D18/D20-1</f>
        <v>-8.2773061131012904E-3</v>
      </c>
      <c r="E21" s="29">
        <f t="shared" ref="E21" si="11">E18/E20-1</f>
        <v>-1.4490260174724323E-2</v>
      </c>
      <c r="F21" s="30">
        <f>F18/F20-1</f>
        <v>-7.0642255202499893E-3</v>
      </c>
      <c r="G21" s="30">
        <f t="shared" ref="G21" si="12">G18/G20-1</f>
        <v>1.5054112023573651E-3</v>
      </c>
      <c r="H21" s="30">
        <f t="shared" ref="H21" si="13">H18/H20-1</f>
        <v>5.5588143178921801E-3</v>
      </c>
      <c r="I21" s="30">
        <f t="shared" ref="I21" si="14">I18/I20-1</f>
        <v>1.2559249064265421E-2</v>
      </c>
      <c r="J21" s="30">
        <f t="shared" ref="J21" si="15">J18/J20-1</f>
        <v>1.9820113512433624E-2</v>
      </c>
      <c r="K21" s="30" t="e">
        <f t="shared" ref="K21" si="16">K18/K20-1</f>
        <v>#DIV/0!</v>
      </c>
      <c r="L21" s="30" t="e">
        <f t="shared" ref="L21" si="17">L18/L20-1</f>
        <v>#DIV/0!</v>
      </c>
      <c r="M21" s="30" t="e">
        <f t="shared" ref="M21" si="18">M18/M20-1</f>
        <v>#DIV/0!</v>
      </c>
      <c r="N21" s="30" t="e">
        <f t="shared" ref="N21" si="19">N18/N20-1</f>
        <v>#DIV/0!</v>
      </c>
      <c r="O21" s="30" t="e">
        <f t="shared" ref="O21" si="20">O18/O20-1</f>
        <v>#DIV/0!</v>
      </c>
      <c r="P21" s="30" t="e">
        <f t="shared" ref="P21" si="21">P18/P20-1</f>
        <v>#DIV/0!</v>
      </c>
      <c r="Q21" s="30" t="e">
        <f t="shared" ref="Q21" si="22">Q18/Q20-1</f>
        <v>#DIV/0!</v>
      </c>
    </row>
  </sheetData>
  <mergeCells count="26">
    <mergeCell ref="AN1:AR1"/>
    <mergeCell ref="AS1:AV1"/>
    <mergeCell ref="AW1:AZ1"/>
    <mergeCell ref="BA1:BE1"/>
    <mergeCell ref="BA9:BE9"/>
    <mergeCell ref="AN9:AR9"/>
    <mergeCell ref="AS9:AV9"/>
    <mergeCell ref="AW9:AZ9"/>
    <mergeCell ref="B1:E1"/>
    <mergeCell ref="F1:I1"/>
    <mergeCell ref="J1:M1"/>
    <mergeCell ref="N1:Q1"/>
    <mergeCell ref="R1:V1"/>
    <mergeCell ref="W1:Z1"/>
    <mergeCell ref="AA1:AD1"/>
    <mergeCell ref="AE1:AI1"/>
    <mergeCell ref="AJ1:AM1"/>
    <mergeCell ref="AA9:AD9"/>
    <mergeCell ref="AE9:AI9"/>
    <mergeCell ref="AJ9:AM9"/>
    <mergeCell ref="W9:Z9"/>
    <mergeCell ref="F9:I9"/>
    <mergeCell ref="J9:M9"/>
    <mergeCell ref="N9:Q9"/>
    <mergeCell ref="B9:E9"/>
    <mergeCell ref="R9:V9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21"/>
  <sheetViews>
    <sheetView workbookViewId="0">
      <selection sqref="A1:XFD1048576"/>
    </sheetView>
  </sheetViews>
  <sheetFormatPr defaultRowHeight="15" x14ac:dyDescent="0.25"/>
  <cols>
    <col min="1" max="1" width="33.42578125" bestFit="1" customWidth="1"/>
    <col min="2" max="3" width="11.85546875" bestFit="1" customWidth="1"/>
    <col min="4" max="4" width="11.42578125" bestFit="1" customWidth="1"/>
    <col min="5" max="5" width="11.140625" bestFit="1" customWidth="1"/>
    <col min="6" max="13" width="10.5703125" bestFit="1" customWidth="1"/>
    <col min="14" max="17" width="10.85546875" bestFit="1" customWidth="1"/>
    <col min="18" max="26" width="11.42578125" bestFit="1" customWidth="1"/>
    <col min="27" max="35" width="9.140625" bestFit="1" customWidth="1"/>
    <col min="36" max="36" width="8.85546875" bestFit="1" customWidth="1"/>
    <col min="37" max="45" width="9.140625" bestFit="1" customWidth="1"/>
    <col min="46" max="46" width="8.85546875" bestFit="1" customWidth="1"/>
    <col min="47" max="47" width="9.140625" bestFit="1" customWidth="1"/>
    <col min="48" max="57" width="7.85546875" bestFit="1" customWidth="1"/>
  </cols>
  <sheetData>
    <row r="1" spans="1:57" s="32" customFormat="1" ht="14.45" x14ac:dyDescent="0.35">
      <c r="A1" s="32" t="s">
        <v>107</v>
      </c>
      <c r="B1" s="139">
        <v>2015</v>
      </c>
      <c r="C1" s="140"/>
      <c r="D1" s="140"/>
      <c r="E1" s="140"/>
      <c r="F1" s="141">
        <v>42385</v>
      </c>
      <c r="G1" s="142"/>
      <c r="H1" s="142"/>
      <c r="I1" s="143"/>
      <c r="J1" s="141">
        <v>42416</v>
      </c>
      <c r="K1" s="142"/>
      <c r="L1" s="142"/>
      <c r="M1" s="143"/>
      <c r="N1" s="144">
        <v>42445</v>
      </c>
      <c r="O1" s="145"/>
      <c r="P1" s="145"/>
      <c r="Q1" s="146"/>
      <c r="R1" s="144">
        <v>42476</v>
      </c>
      <c r="S1" s="145"/>
      <c r="T1" s="145"/>
      <c r="U1" s="145"/>
      <c r="V1" s="146"/>
      <c r="W1" s="144">
        <v>42506</v>
      </c>
      <c r="X1" s="145"/>
      <c r="Y1" s="145"/>
      <c r="Z1" s="146"/>
      <c r="AA1" s="144">
        <v>42537</v>
      </c>
      <c r="AB1" s="145"/>
      <c r="AC1" s="145"/>
      <c r="AD1" s="146"/>
      <c r="AE1" s="144">
        <v>42567</v>
      </c>
      <c r="AF1" s="145"/>
      <c r="AG1" s="145"/>
      <c r="AH1" s="145"/>
      <c r="AI1" s="146"/>
      <c r="AJ1" s="144">
        <v>42598</v>
      </c>
      <c r="AK1" s="145"/>
      <c r="AL1" s="145"/>
      <c r="AM1" s="146"/>
      <c r="AN1" s="144">
        <v>42629</v>
      </c>
      <c r="AO1" s="145"/>
      <c r="AP1" s="145"/>
      <c r="AQ1" s="145"/>
      <c r="AR1" s="146"/>
      <c r="AS1" s="144">
        <v>42659</v>
      </c>
      <c r="AT1" s="145"/>
      <c r="AU1" s="145"/>
      <c r="AV1" s="146"/>
      <c r="AW1" s="144">
        <v>42690</v>
      </c>
      <c r="AX1" s="145"/>
      <c r="AY1" s="145"/>
      <c r="AZ1" s="146"/>
      <c r="BA1" s="144">
        <v>42720</v>
      </c>
      <c r="BB1" s="145"/>
      <c r="BC1" s="145"/>
      <c r="BD1" s="145"/>
      <c r="BE1" s="146"/>
    </row>
    <row r="2" spans="1:57" ht="14.45" x14ac:dyDescent="0.35">
      <c r="B2" s="28" t="s">
        <v>48</v>
      </c>
      <c r="C2" s="28" t="s">
        <v>49</v>
      </c>
      <c r="D2" s="28" t="s">
        <v>50</v>
      </c>
      <c r="E2" s="33" t="s">
        <v>51</v>
      </c>
      <c r="F2" s="35" t="s">
        <v>52</v>
      </c>
      <c r="G2" s="28" t="s">
        <v>53</v>
      </c>
      <c r="H2" s="28" t="s">
        <v>54</v>
      </c>
      <c r="I2" s="36" t="s">
        <v>55</v>
      </c>
      <c r="J2" s="35" t="s">
        <v>56</v>
      </c>
      <c r="K2" s="28" t="s">
        <v>57</v>
      </c>
      <c r="L2" s="28" t="s">
        <v>58</v>
      </c>
      <c r="M2" s="36" t="s">
        <v>59</v>
      </c>
      <c r="N2" s="35" t="s">
        <v>60</v>
      </c>
      <c r="O2" s="28" t="s">
        <v>61</v>
      </c>
      <c r="P2" s="28" t="s">
        <v>62</v>
      </c>
      <c r="Q2" s="36" t="s">
        <v>63</v>
      </c>
      <c r="R2" s="35" t="s">
        <v>64</v>
      </c>
      <c r="S2" s="28" t="s">
        <v>65</v>
      </c>
      <c r="T2" s="28" t="s">
        <v>66</v>
      </c>
      <c r="U2" s="28" t="s">
        <v>67</v>
      </c>
      <c r="V2" s="36" t="s">
        <v>68</v>
      </c>
      <c r="W2" s="35" t="s">
        <v>69</v>
      </c>
      <c r="X2" s="28" t="s">
        <v>70</v>
      </c>
      <c r="Y2" s="28" t="s">
        <v>71</v>
      </c>
      <c r="Z2" s="36" t="s">
        <v>72</v>
      </c>
      <c r="AA2" s="35" t="s">
        <v>73</v>
      </c>
      <c r="AB2" s="28" t="s">
        <v>74</v>
      </c>
      <c r="AC2" s="28" t="s">
        <v>75</v>
      </c>
      <c r="AD2" s="36" t="s">
        <v>76</v>
      </c>
      <c r="AE2" s="35" t="s">
        <v>77</v>
      </c>
      <c r="AF2" s="28" t="s">
        <v>78</v>
      </c>
      <c r="AG2" s="28" t="s">
        <v>79</v>
      </c>
      <c r="AH2" s="28" t="s">
        <v>80</v>
      </c>
      <c r="AI2" s="36" t="s">
        <v>81</v>
      </c>
      <c r="AJ2" s="35" t="s">
        <v>82</v>
      </c>
      <c r="AK2" s="28" t="s">
        <v>83</v>
      </c>
      <c r="AL2" s="28" t="s">
        <v>84</v>
      </c>
      <c r="AM2" s="36" t="s">
        <v>85</v>
      </c>
      <c r="AN2" s="35" t="s">
        <v>86</v>
      </c>
      <c r="AO2" s="28" t="s">
        <v>87</v>
      </c>
      <c r="AP2" s="28" t="s">
        <v>88</v>
      </c>
      <c r="AQ2" s="28" t="s">
        <v>89</v>
      </c>
      <c r="AR2" s="36" t="s">
        <v>90</v>
      </c>
      <c r="AS2" s="35" t="s">
        <v>91</v>
      </c>
      <c r="AT2" s="28" t="s">
        <v>92</v>
      </c>
      <c r="AU2" s="28" t="s">
        <v>93</v>
      </c>
      <c r="AV2" s="36" t="s">
        <v>94</v>
      </c>
      <c r="AW2" s="35" t="s">
        <v>95</v>
      </c>
      <c r="AX2" s="28" t="s">
        <v>96</v>
      </c>
      <c r="AY2" s="28" t="s">
        <v>97</v>
      </c>
      <c r="AZ2" s="36" t="s">
        <v>98</v>
      </c>
      <c r="BA2" s="35" t="s">
        <v>99</v>
      </c>
      <c r="BB2" s="28" t="s">
        <v>100</v>
      </c>
      <c r="BC2" s="28" t="s">
        <v>101</v>
      </c>
      <c r="BD2" s="28" t="s">
        <v>102</v>
      </c>
      <c r="BE2" s="36" t="s">
        <v>103</v>
      </c>
    </row>
    <row r="3" spans="1:57" s="46" customFormat="1" ht="14.45" x14ac:dyDescent="0.35">
      <c r="A3" s="46" t="s">
        <v>109</v>
      </c>
      <c r="B3" s="61">
        <f>'PC% - AAG'!B3*15</f>
        <v>384585</v>
      </c>
      <c r="C3" s="61">
        <f>'PC% - AAG'!C3*15</f>
        <v>385770</v>
      </c>
      <c r="D3" s="61">
        <f>'PC% - AAG'!D3*15</f>
        <v>400125</v>
      </c>
      <c r="E3" s="61">
        <f>'PC% - AAG'!E3*15</f>
        <v>371181.6</v>
      </c>
      <c r="F3" s="61">
        <f>'PC% - AAG'!F3*15</f>
        <v>29865</v>
      </c>
      <c r="G3" s="61">
        <f>'PC% - AAG'!G3*15</f>
        <v>29865</v>
      </c>
      <c r="H3" s="61">
        <f>'PC% - AAG'!H3*15</f>
        <v>29865</v>
      </c>
      <c r="I3" s="61">
        <f>'PC% - AAG'!I3*15</f>
        <v>29865</v>
      </c>
      <c r="J3" s="61">
        <f>'PC% - AAG'!J3*15</f>
        <v>62096.25</v>
      </c>
      <c r="K3" s="61">
        <f>'PC% - AAG'!K3*15</f>
        <v>62096.25</v>
      </c>
      <c r="L3" s="61">
        <f>'PC% - AAG'!L3*15</f>
        <v>62096.25</v>
      </c>
      <c r="M3" s="61">
        <f>'PC% - AAG'!M3*15</f>
        <v>62096.25</v>
      </c>
      <c r="N3" s="61">
        <f>'PC% - AAG'!N3*15</f>
        <v>96082.5</v>
      </c>
      <c r="O3" s="61">
        <f>'PC% - AAG'!O3*15</f>
        <v>96082.5</v>
      </c>
      <c r="P3" s="61">
        <f>'PC% - AAG'!P3*15</f>
        <v>96082.5</v>
      </c>
      <c r="Q3" s="61">
        <f>'PC% - AAG'!Q3*15</f>
        <v>96082.5</v>
      </c>
      <c r="R3" s="61">
        <f>'PC% - AAG'!R3*15</f>
        <v>102852</v>
      </c>
      <c r="S3" s="61">
        <f>'PC% - AAG'!S3*15</f>
        <v>102852</v>
      </c>
      <c r="T3" s="61">
        <f>'PC% - AAG'!T3*15</f>
        <v>102852</v>
      </c>
      <c r="U3" s="61">
        <f>'PC% - AAG'!U3*15</f>
        <v>102852</v>
      </c>
      <c r="V3" s="61">
        <f>'PC% - AAG'!V3*15</f>
        <v>102852</v>
      </c>
      <c r="W3" s="61">
        <f>'PC% - AAG'!W3*15</f>
        <v>160736.25</v>
      </c>
      <c r="X3" s="61">
        <f>'PC% - AAG'!X3*15</f>
        <v>160736.25</v>
      </c>
      <c r="Y3" s="61">
        <f>'PC% - AAG'!Y3*15</f>
        <v>160736.25</v>
      </c>
      <c r="Z3" s="61">
        <f>'PC% - AAG'!Z3*15</f>
        <v>160736.25</v>
      </c>
      <c r="AA3" s="49"/>
      <c r="AB3" s="49"/>
      <c r="AC3" s="49"/>
      <c r="AD3" s="49"/>
      <c r="AE3" s="49"/>
      <c r="AF3" s="47"/>
      <c r="AG3" s="47"/>
      <c r="AH3" s="47"/>
      <c r="AI3" s="50"/>
      <c r="AJ3" s="49"/>
      <c r="AK3" s="47"/>
      <c r="AL3" s="47"/>
      <c r="AM3" s="50"/>
      <c r="AN3" s="49"/>
      <c r="AO3" s="47"/>
      <c r="AP3" s="47"/>
      <c r="AQ3" s="47"/>
      <c r="AR3" s="50"/>
      <c r="AS3" s="49"/>
      <c r="AT3" s="47"/>
      <c r="AU3" s="47"/>
      <c r="AV3" s="50"/>
      <c r="AW3" s="49"/>
      <c r="AX3" s="47"/>
      <c r="AY3" s="47"/>
      <c r="AZ3" s="50"/>
      <c r="BA3" s="49"/>
      <c r="BB3" s="47"/>
      <c r="BC3" s="47"/>
      <c r="BD3" s="47"/>
      <c r="BE3" s="50"/>
    </row>
    <row r="4" spans="1:57" s="42" customFormat="1" thickBot="1" x14ac:dyDescent="0.4">
      <c r="A4" s="42" t="s">
        <v>110</v>
      </c>
      <c r="B4" s="43">
        <v>60849</v>
      </c>
      <c r="C4" s="43">
        <v>61787.5</v>
      </c>
      <c r="D4" s="43">
        <v>64042</v>
      </c>
      <c r="E4" s="51">
        <v>59784</v>
      </c>
      <c r="F4" s="58">
        <v>4815.75</v>
      </c>
      <c r="G4" s="59">
        <v>4815.75</v>
      </c>
      <c r="H4" s="59">
        <v>4815.75</v>
      </c>
      <c r="I4" s="60">
        <v>4815.75</v>
      </c>
      <c r="J4" s="58">
        <v>9927.3799999999992</v>
      </c>
      <c r="K4" s="59">
        <v>9927.3799999999992</v>
      </c>
      <c r="L4" s="59">
        <v>9927.3799999999992</v>
      </c>
      <c r="M4" s="60">
        <v>9927.3799999999992</v>
      </c>
      <c r="N4" s="58">
        <f>15375.75*0.995</f>
        <v>15298.87125</v>
      </c>
      <c r="O4" s="58">
        <f t="shared" ref="O4:Q4" si="0">15375.75*0.995</f>
        <v>15298.87125</v>
      </c>
      <c r="P4" s="58">
        <f t="shared" si="0"/>
        <v>15298.87125</v>
      </c>
      <c r="Q4" s="58">
        <f t="shared" si="0"/>
        <v>15298.87125</v>
      </c>
      <c r="R4" s="58">
        <f>16511.2*0.985</f>
        <v>16263.532000000001</v>
      </c>
      <c r="S4" s="58">
        <f t="shared" ref="S4:V4" si="1">16511.2*0.985</f>
        <v>16263.532000000001</v>
      </c>
      <c r="T4" s="58">
        <f t="shared" si="1"/>
        <v>16263.532000000001</v>
      </c>
      <c r="U4" s="58">
        <f t="shared" si="1"/>
        <v>16263.532000000001</v>
      </c>
      <c r="V4" s="58">
        <f t="shared" si="1"/>
        <v>16263.532000000001</v>
      </c>
      <c r="W4" s="58">
        <f>25796.63*0.98</f>
        <v>25280.697400000001</v>
      </c>
      <c r="X4" s="58">
        <f>25796.63*0.979</f>
        <v>25254.90077</v>
      </c>
      <c r="Y4" s="58">
        <f>25796.63*0.978</f>
        <v>25229.104139999999</v>
      </c>
      <c r="Z4" s="58">
        <f>25796.63*0.976</f>
        <v>25177.510880000002</v>
      </c>
      <c r="AA4" s="58"/>
      <c r="AB4" s="59"/>
      <c r="AC4" s="59"/>
      <c r="AD4" s="60"/>
      <c r="AE4" s="44"/>
      <c r="AF4" s="43"/>
      <c r="AG4" s="43"/>
      <c r="AH4" s="43"/>
      <c r="AI4" s="45"/>
      <c r="AJ4" s="44"/>
      <c r="AK4" s="43"/>
      <c r="AL4" s="43"/>
      <c r="AM4" s="45"/>
      <c r="AN4" s="44"/>
      <c r="AO4" s="43"/>
      <c r="AP4" s="43"/>
      <c r="AQ4" s="43"/>
      <c r="AR4" s="45"/>
      <c r="AS4" s="44"/>
      <c r="AT4" s="43"/>
      <c r="AU4" s="43"/>
      <c r="AV4" s="45"/>
      <c r="AW4" s="44"/>
      <c r="AX4" s="43"/>
      <c r="AY4" s="43"/>
      <c r="AZ4" s="45"/>
      <c r="BA4" s="44"/>
      <c r="BB4" s="43"/>
      <c r="BC4" s="43"/>
      <c r="BD4" s="43"/>
      <c r="BE4" s="45"/>
    </row>
    <row r="6" spans="1:57" ht="14.45" x14ac:dyDescent="0.35">
      <c r="A6" t="s">
        <v>115</v>
      </c>
    </row>
    <row r="7" spans="1:57" ht="14.45" x14ac:dyDescent="0.35">
      <c r="A7" t="s">
        <v>116</v>
      </c>
    </row>
    <row r="8" spans="1:57" thickBot="1" x14ac:dyDescent="0.4"/>
    <row r="9" spans="1:57" s="32" customFormat="1" ht="14.45" x14ac:dyDescent="0.35">
      <c r="A9" s="32" t="s">
        <v>107</v>
      </c>
      <c r="B9" s="139">
        <v>2015</v>
      </c>
      <c r="C9" s="140"/>
      <c r="D9" s="140"/>
      <c r="E9" s="140"/>
      <c r="F9" s="141">
        <v>42385</v>
      </c>
      <c r="G9" s="142"/>
      <c r="H9" s="142"/>
      <c r="I9" s="143"/>
      <c r="J9" s="141">
        <v>42416</v>
      </c>
      <c r="K9" s="142"/>
      <c r="L9" s="142"/>
      <c r="M9" s="143"/>
      <c r="N9" s="144">
        <v>42445</v>
      </c>
      <c r="O9" s="145"/>
      <c r="P9" s="145"/>
      <c r="Q9" s="146"/>
      <c r="R9" s="144">
        <v>42476</v>
      </c>
      <c r="S9" s="145"/>
      <c r="T9" s="145"/>
      <c r="U9" s="145"/>
      <c r="V9" s="146"/>
      <c r="W9" s="144">
        <v>42506</v>
      </c>
      <c r="X9" s="145"/>
      <c r="Y9" s="145"/>
      <c r="Z9" s="146"/>
      <c r="AA9" s="144">
        <v>42537</v>
      </c>
      <c r="AB9" s="145"/>
      <c r="AC9" s="145"/>
      <c r="AD9" s="146"/>
      <c r="AE9" s="144">
        <v>42567</v>
      </c>
      <c r="AF9" s="145"/>
      <c r="AG9" s="145"/>
      <c r="AH9" s="145"/>
      <c r="AI9" s="146"/>
      <c r="AJ9" s="144">
        <v>42598</v>
      </c>
      <c r="AK9" s="145"/>
      <c r="AL9" s="145"/>
      <c r="AM9" s="146"/>
      <c r="AN9" s="144">
        <v>42629</v>
      </c>
      <c r="AO9" s="145"/>
      <c r="AP9" s="145"/>
      <c r="AQ9" s="145"/>
      <c r="AR9" s="146"/>
      <c r="AS9" s="144">
        <v>42659</v>
      </c>
      <c r="AT9" s="145"/>
      <c r="AU9" s="145"/>
      <c r="AV9" s="146"/>
      <c r="AW9" s="144">
        <v>42690</v>
      </c>
      <c r="AX9" s="145"/>
      <c r="AY9" s="145"/>
      <c r="AZ9" s="146"/>
      <c r="BA9" s="144">
        <v>42720</v>
      </c>
      <c r="BB9" s="145"/>
      <c r="BC9" s="145"/>
      <c r="BD9" s="145"/>
      <c r="BE9" s="146"/>
    </row>
    <row r="10" spans="1:57" ht="14.45" x14ac:dyDescent="0.35">
      <c r="B10" s="28" t="s">
        <v>48</v>
      </c>
      <c r="C10" s="28" t="s">
        <v>49</v>
      </c>
      <c r="D10" s="28" t="s">
        <v>50</v>
      </c>
      <c r="E10" s="33" t="s">
        <v>51</v>
      </c>
      <c r="F10" s="35" t="s">
        <v>52</v>
      </c>
      <c r="G10" s="28" t="s">
        <v>53</v>
      </c>
      <c r="H10" s="28" t="s">
        <v>54</v>
      </c>
      <c r="I10" s="36" t="s">
        <v>55</v>
      </c>
      <c r="J10" s="35" t="s">
        <v>56</v>
      </c>
      <c r="K10" s="28" t="s">
        <v>57</v>
      </c>
      <c r="L10" s="28" t="s">
        <v>58</v>
      </c>
      <c r="M10" s="36" t="s">
        <v>59</v>
      </c>
      <c r="N10" s="35" t="s">
        <v>60</v>
      </c>
      <c r="O10" s="28" t="s">
        <v>61</v>
      </c>
      <c r="P10" s="28" t="s">
        <v>62</v>
      </c>
      <c r="Q10" s="36" t="s">
        <v>63</v>
      </c>
      <c r="R10" s="35" t="s">
        <v>64</v>
      </c>
      <c r="S10" s="28" t="s">
        <v>65</v>
      </c>
      <c r="T10" s="28" t="s">
        <v>66</v>
      </c>
      <c r="U10" s="28" t="s">
        <v>67</v>
      </c>
      <c r="V10" s="36" t="s">
        <v>68</v>
      </c>
      <c r="W10" s="35" t="s">
        <v>69</v>
      </c>
      <c r="X10" s="28" t="s">
        <v>70</v>
      </c>
      <c r="Y10" s="28" t="s">
        <v>71</v>
      </c>
      <c r="Z10" s="36" t="s">
        <v>72</v>
      </c>
      <c r="AA10" s="35" t="s">
        <v>73</v>
      </c>
      <c r="AB10" s="28" t="s">
        <v>74</v>
      </c>
      <c r="AC10" s="28" t="s">
        <v>75</v>
      </c>
      <c r="AD10" s="36" t="s">
        <v>76</v>
      </c>
      <c r="AE10" s="35" t="s">
        <v>77</v>
      </c>
      <c r="AF10" s="28" t="s">
        <v>78</v>
      </c>
      <c r="AG10" s="28" t="s">
        <v>79</v>
      </c>
      <c r="AH10" s="28" t="s">
        <v>80</v>
      </c>
      <c r="AI10" s="36" t="s">
        <v>81</v>
      </c>
      <c r="AJ10" s="35" t="s">
        <v>82</v>
      </c>
      <c r="AK10" s="28" t="s">
        <v>83</v>
      </c>
      <c r="AL10" s="28" t="s">
        <v>84</v>
      </c>
      <c r="AM10" s="36" t="s">
        <v>85</v>
      </c>
      <c r="AN10" s="35" t="s">
        <v>86</v>
      </c>
      <c r="AO10" s="28" t="s">
        <v>87</v>
      </c>
      <c r="AP10" s="28" t="s">
        <v>88</v>
      </c>
      <c r="AQ10" s="28" t="s">
        <v>89</v>
      </c>
      <c r="AR10" s="36" t="s">
        <v>90</v>
      </c>
      <c r="AS10" s="35" t="s">
        <v>91</v>
      </c>
      <c r="AT10" s="28" t="s">
        <v>92</v>
      </c>
      <c r="AU10" s="28" t="s">
        <v>93</v>
      </c>
      <c r="AV10" s="36" t="s">
        <v>94</v>
      </c>
      <c r="AW10" s="35" t="s">
        <v>95</v>
      </c>
      <c r="AX10" s="28" t="s">
        <v>96</v>
      </c>
      <c r="AY10" s="28" t="s">
        <v>97</v>
      </c>
      <c r="AZ10" s="36" t="s">
        <v>98</v>
      </c>
      <c r="BA10" s="35" t="s">
        <v>99</v>
      </c>
      <c r="BB10" s="28" t="s">
        <v>100</v>
      </c>
      <c r="BC10" s="28" t="s">
        <v>101</v>
      </c>
      <c r="BD10" s="28" t="s">
        <v>102</v>
      </c>
      <c r="BE10" s="36" t="s">
        <v>103</v>
      </c>
    </row>
    <row r="11" spans="1:57" s="46" customFormat="1" ht="14.45" x14ac:dyDescent="0.35">
      <c r="A11" s="46" t="s">
        <v>104</v>
      </c>
      <c r="B11" s="47">
        <f>B3/B4</f>
        <v>6.3203175072721001</v>
      </c>
      <c r="C11" s="47">
        <f t="shared" ref="C11:E11" si="2">C3/C4</f>
        <v>6.2434958527210194</v>
      </c>
      <c r="D11" s="47">
        <f t="shared" si="2"/>
        <v>6.2478529714874611</v>
      </c>
      <c r="E11" s="47">
        <f t="shared" si="2"/>
        <v>6.2087113608992368</v>
      </c>
      <c r="F11" s="49">
        <f>F3/F4</f>
        <v>6.2015262420183772</v>
      </c>
      <c r="G11" s="49">
        <f t="shared" ref="G11:BE11" si="3">G3/G4</f>
        <v>6.2015262420183772</v>
      </c>
      <c r="H11" s="49">
        <f t="shared" si="3"/>
        <v>6.2015262420183772</v>
      </c>
      <c r="I11" s="49">
        <f t="shared" si="3"/>
        <v>6.2015262420183772</v>
      </c>
      <c r="J11" s="49">
        <f t="shared" si="3"/>
        <v>6.2550491670511255</v>
      </c>
      <c r="K11" s="49">
        <f t="shared" si="3"/>
        <v>6.2550491670511255</v>
      </c>
      <c r="L11" s="49">
        <f t="shared" si="3"/>
        <v>6.2550491670511255</v>
      </c>
      <c r="M11" s="49">
        <f t="shared" si="3"/>
        <v>6.2550491670511255</v>
      </c>
      <c r="N11" s="49">
        <f t="shared" si="3"/>
        <v>6.2803652916550954</v>
      </c>
      <c r="O11" s="49">
        <f t="shared" si="3"/>
        <v>6.2803652916550954</v>
      </c>
      <c r="P11" s="49">
        <f t="shared" si="3"/>
        <v>6.2803652916550954</v>
      </c>
      <c r="Q11" s="49">
        <f t="shared" si="3"/>
        <v>6.2803652916550954</v>
      </c>
      <c r="R11" s="49">
        <f t="shared" si="3"/>
        <v>6.3240875352291246</v>
      </c>
      <c r="S11" s="49">
        <f t="shared" si="3"/>
        <v>6.3240875352291246</v>
      </c>
      <c r="T11" s="49">
        <f t="shared" si="3"/>
        <v>6.3240875352291246</v>
      </c>
      <c r="U11" s="49">
        <f t="shared" si="3"/>
        <v>6.3240875352291246</v>
      </c>
      <c r="V11" s="49">
        <f t="shared" si="3"/>
        <v>6.3240875352291246</v>
      </c>
      <c r="W11" s="49">
        <f t="shared" si="3"/>
        <v>6.3580623373151086</v>
      </c>
      <c r="X11" s="49">
        <f t="shared" si="3"/>
        <v>6.36455678301206</v>
      </c>
      <c r="Y11" s="49">
        <f t="shared" si="3"/>
        <v>6.3710645097840564</v>
      </c>
      <c r="Z11" s="49">
        <f t="shared" si="3"/>
        <v>6.3841199698450888</v>
      </c>
      <c r="AA11" s="49" t="e">
        <f t="shared" si="3"/>
        <v>#DIV/0!</v>
      </c>
      <c r="AB11" s="49" t="e">
        <f t="shared" si="3"/>
        <v>#DIV/0!</v>
      </c>
      <c r="AC11" s="49" t="e">
        <f t="shared" si="3"/>
        <v>#DIV/0!</v>
      </c>
      <c r="AD11" s="49" t="e">
        <f t="shared" si="3"/>
        <v>#DIV/0!</v>
      </c>
      <c r="AE11" s="49" t="e">
        <f t="shared" si="3"/>
        <v>#DIV/0!</v>
      </c>
      <c r="AF11" s="49" t="e">
        <f t="shared" si="3"/>
        <v>#DIV/0!</v>
      </c>
      <c r="AG11" s="49" t="e">
        <f t="shared" si="3"/>
        <v>#DIV/0!</v>
      </c>
      <c r="AH11" s="49" t="e">
        <f t="shared" si="3"/>
        <v>#DIV/0!</v>
      </c>
      <c r="AI11" s="49" t="e">
        <f t="shared" si="3"/>
        <v>#DIV/0!</v>
      </c>
      <c r="AJ11" s="49" t="e">
        <f t="shared" si="3"/>
        <v>#DIV/0!</v>
      </c>
      <c r="AK11" s="49" t="e">
        <f t="shared" si="3"/>
        <v>#DIV/0!</v>
      </c>
      <c r="AL11" s="49" t="e">
        <f t="shared" si="3"/>
        <v>#DIV/0!</v>
      </c>
      <c r="AM11" s="49" t="e">
        <f t="shared" si="3"/>
        <v>#DIV/0!</v>
      </c>
      <c r="AN11" s="49" t="e">
        <f t="shared" si="3"/>
        <v>#DIV/0!</v>
      </c>
      <c r="AO11" s="49" t="e">
        <f t="shared" si="3"/>
        <v>#DIV/0!</v>
      </c>
      <c r="AP11" s="49" t="e">
        <f t="shared" si="3"/>
        <v>#DIV/0!</v>
      </c>
      <c r="AQ11" s="49" t="e">
        <f t="shared" si="3"/>
        <v>#DIV/0!</v>
      </c>
      <c r="AR11" s="49" t="e">
        <f t="shared" si="3"/>
        <v>#DIV/0!</v>
      </c>
      <c r="AS11" s="49" t="e">
        <f t="shared" si="3"/>
        <v>#DIV/0!</v>
      </c>
      <c r="AT11" s="49" t="e">
        <f t="shared" si="3"/>
        <v>#DIV/0!</v>
      </c>
      <c r="AU11" s="49" t="e">
        <f t="shared" si="3"/>
        <v>#DIV/0!</v>
      </c>
      <c r="AV11" s="49" t="e">
        <f t="shared" si="3"/>
        <v>#DIV/0!</v>
      </c>
      <c r="AW11" s="49" t="e">
        <f t="shared" si="3"/>
        <v>#DIV/0!</v>
      </c>
      <c r="AX11" s="49" t="e">
        <f t="shared" si="3"/>
        <v>#DIV/0!</v>
      </c>
      <c r="AY11" s="49" t="e">
        <f t="shared" si="3"/>
        <v>#DIV/0!</v>
      </c>
      <c r="AZ11" s="49" t="e">
        <f t="shared" si="3"/>
        <v>#DIV/0!</v>
      </c>
      <c r="BA11" s="49" t="e">
        <f t="shared" si="3"/>
        <v>#DIV/0!</v>
      </c>
      <c r="BB11" s="49" t="e">
        <f t="shared" si="3"/>
        <v>#DIV/0!</v>
      </c>
      <c r="BC11" s="49" t="e">
        <f t="shared" si="3"/>
        <v>#DIV/0!</v>
      </c>
      <c r="BD11" s="49" t="e">
        <f t="shared" si="3"/>
        <v>#DIV/0!</v>
      </c>
      <c r="BE11" s="49" t="e">
        <f t="shared" si="3"/>
        <v>#DIV/0!</v>
      </c>
    </row>
    <row r="12" spans="1:57" s="46" customFormat="1" ht="14.45" x14ac:dyDescent="0.35">
      <c r="A12" t="s">
        <v>114</v>
      </c>
      <c r="B12" s="30">
        <f>B11/B13-1</f>
        <v>3.2250011543015766E-3</v>
      </c>
      <c r="C12" s="30">
        <f>(AVERAGE($B11:C11))/C13-1</f>
        <v>-2.8719555561016463E-3</v>
      </c>
      <c r="D12" s="30">
        <f>(AVERAGE($B11:D11))/D13-1</f>
        <v>-4.6737390751014907E-3</v>
      </c>
      <c r="E12" s="30">
        <f>(AVERAGE($B11:E11))/E13-1</f>
        <v>-7.1278693500071988E-3</v>
      </c>
      <c r="F12" s="62">
        <f>F11/F13-1</f>
        <v>-7.0642255202498783E-3</v>
      </c>
      <c r="G12" s="30">
        <f>(SUM($F3:G3)/SUM($F4:G4))/G13-1</f>
        <v>-7.0642255202498783E-3</v>
      </c>
      <c r="H12" s="30">
        <f>(SUM($F3:H3)/SUM($F4:H4))/H13-1</f>
        <v>-7.0642255202498783E-3</v>
      </c>
      <c r="I12" s="30">
        <f>(SUM($F3:I3)/SUM($F4:I4))/I13-1</f>
        <v>-7.0642255202498783E-3</v>
      </c>
      <c r="J12" s="30">
        <f>(SUM($F3:J3)/SUM($F4:J4))/J13-1</f>
        <v>-4.1497708195135097E-3</v>
      </c>
      <c r="K12" s="30">
        <f>(SUM($F3:K3)/SUM($F4:K4))/K13-1</f>
        <v>-2.7145879025907149E-3</v>
      </c>
      <c r="L12" s="30">
        <f>(SUM($F3:L3)/SUM($F4:L4))/L13-1</f>
        <v>-1.8604047008611291E-3</v>
      </c>
      <c r="M12" s="30">
        <f>(SUM($F3:M3)/SUM($F4:M4))/M13-1</f>
        <v>-1.2938063346848994E-3</v>
      </c>
      <c r="N12" s="30">
        <f>(SUM($F3:N3)/SUM($F4:N4))/N13-1</f>
        <v>1.1773799381686878E-4</v>
      </c>
      <c r="O12" s="30">
        <f>(SUM($F3:O3)/SUM($F4:O4))/O13-1</f>
        <v>1.0470902567227824E-3</v>
      </c>
      <c r="P12" s="30">
        <f>(SUM($F3:P3)/SUM($F4:P4))/P13-1</f>
        <v>1.7052847421652473E-3</v>
      </c>
      <c r="Q12" s="30">
        <f>(SUM($F3:Q3)/SUM($F4:Q4))/Q13-1</f>
        <v>2.1958866526914367E-3</v>
      </c>
      <c r="R12" s="30">
        <f>(SUM($F3:R3)/SUM($F4:R4))/R13-1</f>
        <v>3.43126726859877E-3</v>
      </c>
      <c r="S12" s="30">
        <f>(SUM($F3:S3)/SUM($F4:S4))/S13-1</f>
        <v>4.4034874260763246E-3</v>
      </c>
      <c r="T12" s="30">
        <f>(SUM($F3:T3)/SUM($F4:T4))/T13-1</f>
        <v>5.1885406261029665E-3</v>
      </c>
      <c r="U12" s="30">
        <f>(SUM($F3:U3)/SUM($F4:U4))/U13-1</f>
        <v>5.8357297638431671E-3</v>
      </c>
      <c r="V12" s="30">
        <f>(SUM($F3:V3)/SUM($F4:V4))/V13-1</f>
        <v>6.3784391982590893E-3</v>
      </c>
      <c r="W12" s="30">
        <f>(SUM($F3:W3)/SUM($F4:W4))/W13-1</f>
        <v>7.6739401448757683E-3</v>
      </c>
      <c r="X12" s="30">
        <f>(SUM($F3:X3)/SUM($F4:X4))/X13-1</f>
        <v>8.8128101668791814E-3</v>
      </c>
      <c r="Y12" s="30">
        <f>(SUM($F3:Y3)/SUM($F4:Y4))/Y13-1</f>
        <v>9.8381699732430494E-3</v>
      </c>
      <c r="Z12" s="30">
        <f>(SUM($F3:Z3)/SUM($F4:Z4))/Z13-1</f>
        <v>1.0864905070296027E-2</v>
      </c>
      <c r="AA12" s="30">
        <f>(SUM($F3:AA3)/SUM($F4:AA4))/AA13-1</f>
        <v>1.0864905070296027E-2</v>
      </c>
      <c r="AB12" s="30">
        <f>(SUM($F3:AB3)/SUM($F4:AB4))/AB13-1</f>
        <v>1.0864905070296027E-2</v>
      </c>
      <c r="AC12" s="30">
        <f>(SUM($F3:AC3)/SUM($F4:AC4))/AC13-1</f>
        <v>1.0864905070296027E-2</v>
      </c>
      <c r="AD12" s="30">
        <f>(SUM($F3:AD3)/SUM($F4:AD4))/AD13-1</f>
        <v>1.0864905070296027E-2</v>
      </c>
      <c r="AE12" s="30">
        <f>(SUM($F3:AE3)/SUM($F4:AE4))/AE13-1</f>
        <v>1.0864905070296027E-2</v>
      </c>
      <c r="AF12" s="30">
        <f>(SUM($F3:AF3)/SUM($F4:AF4))/AF13-1</f>
        <v>1.0864905070296027E-2</v>
      </c>
      <c r="AG12" s="30">
        <f>(SUM($F3:AG3)/SUM($F4:AG4))/AG13-1</f>
        <v>1.0864905070296027E-2</v>
      </c>
      <c r="AH12" s="30">
        <f>(SUM($F3:AH3)/SUM($F4:AH4))/AH13-1</f>
        <v>1.0864905070296027E-2</v>
      </c>
      <c r="AI12" s="30">
        <f>(SUM($F3:AI3)/SUM($F4:AI4))/AI13-1</f>
        <v>1.0864905070296027E-2</v>
      </c>
      <c r="AJ12" s="30">
        <f>(SUM($F3:AJ3)/SUM($F4:AJ4))/AJ13-1</f>
        <v>1.0864905070296027E-2</v>
      </c>
      <c r="AK12" s="30">
        <f>(SUM($F3:AK3)/SUM($F4:AK4))/AK13-1</f>
        <v>1.0864905070296027E-2</v>
      </c>
      <c r="AL12" s="30">
        <f>(SUM($F3:AL3)/SUM($F4:AL4))/AL13-1</f>
        <v>1.0864905070296027E-2</v>
      </c>
      <c r="AM12" s="30">
        <f>(SUM($F3:AM3)/SUM($F4:AM4))/AM13-1</f>
        <v>1.0864905070296027E-2</v>
      </c>
      <c r="AN12" s="30">
        <f>(SUM($F3:AN3)/SUM($F4:AN4))/AN13-1</f>
        <v>1.0864905070296027E-2</v>
      </c>
      <c r="AO12" s="30">
        <f>(SUM($F3:AO3)/SUM($F4:AO4))/AO13-1</f>
        <v>1.0864905070296027E-2</v>
      </c>
      <c r="AP12" s="30">
        <f>(SUM($F3:AP3)/SUM($F4:AP4))/AP13-1</f>
        <v>1.0864905070296027E-2</v>
      </c>
      <c r="AQ12" s="30">
        <f>(SUM($F3:AQ3)/SUM($F4:AQ4))/AQ13-1</f>
        <v>1.0864905070296027E-2</v>
      </c>
      <c r="AR12" s="30">
        <f>(SUM($F3:AR3)/SUM($F4:AR4))/AR13-1</f>
        <v>1.0864905070296027E-2</v>
      </c>
      <c r="AS12" s="30">
        <f>(SUM($F3:AS3)/SUM($F4:AS4))/AS13-1</f>
        <v>1.0864905070296027E-2</v>
      </c>
      <c r="AT12" s="30">
        <f>(SUM($F3:AT3)/SUM($F4:AT4))/AT13-1</f>
        <v>1.0864905070296027E-2</v>
      </c>
      <c r="AU12" s="30">
        <f>(SUM($F3:AU3)/SUM($F4:AU4))/AU13-1</f>
        <v>1.0864905070296027E-2</v>
      </c>
      <c r="AV12" s="30">
        <f>(SUM($F3:AV3)/SUM($F4:AV4))/AV13-1</f>
        <v>1.0864905070296027E-2</v>
      </c>
      <c r="AW12" s="30">
        <f>(SUM($F3:AW3)/SUM($F4:AW4))/AW13-1</f>
        <v>1.0864905070296027E-2</v>
      </c>
      <c r="AX12" s="30">
        <f>(SUM($F3:AX3)/SUM($F4:AX4))/AX13-1</f>
        <v>1.0864905070296027E-2</v>
      </c>
      <c r="AY12" s="30">
        <f>(SUM($F3:AY3)/SUM($F4:AY4))/AY13-1</f>
        <v>1.0864905070296027E-2</v>
      </c>
      <c r="AZ12" s="30">
        <f>(SUM($F3:AZ3)/SUM($F4:AZ4))/AZ13-1</f>
        <v>1.0864905070296027E-2</v>
      </c>
      <c r="BA12" s="30">
        <f>(SUM($F3:BA3)/SUM($F4:BA4))/BA13-1</f>
        <v>1.0864905070296027E-2</v>
      </c>
      <c r="BB12" s="30">
        <f>(SUM($F3:BB3)/SUM($F4:BB4))/BB13-1</f>
        <v>1.0864905070296027E-2</v>
      </c>
      <c r="BC12" s="30">
        <f>(SUM($F3:BC3)/SUM($F4:BC4))/BC13-1</f>
        <v>1.0864905070296027E-2</v>
      </c>
      <c r="BD12" s="30">
        <f>(SUM($F3:BD3)/SUM($F4:BD4))/BD13-1</f>
        <v>1.0864905070296027E-2</v>
      </c>
      <c r="BE12" s="30">
        <f>(SUM($F3:BE3)/SUM($F4:BE4))/BE13-1</f>
        <v>1.0864905070296027E-2</v>
      </c>
    </row>
    <row r="13" spans="1:57" s="46" customFormat="1" ht="14.45" x14ac:dyDescent="0.35">
      <c r="A13" s="46" t="s">
        <v>47</v>
      </c>
      <c r="B13" s="47">
        <v>6.3</v>
      </c>
      <c r="C13" s="47">
        <f>B13</f>
        <v>6.3</v>
      </c>
      <c r="D13" s="47">
        <f>C13</f>
        <v>6.3</v>
      </c>
      <c r="E13" s="48">
        <f>D13</f>
        <v>6.3</v>
      </c>
      <c r="F13" s="49">
        <f>AVERAGE(F11:Q11)</f>
        <v>6.2456469002415327</v>
      </c>
      <c r="G13" s="47">
        <f>F13</f>
        <v>6.2456469002415327</v>
      </c>
      <c r="H13" s="47">
        <f t="shared" ref="H13:BE13" si="4">G13</f>
        <v>6.2456469002415327</v>
      </c>
      <c r="I13" s="50">
        <f t="shared" si="4"/>
        <v>6.2456469002415327</v>
      </c>
      <c r="J13" s="49">
        <f t="shared" si="4"/>
        <v>6.2456469002415327</v>
      </c>
      <c r="K13" s="47">
        <f t="shared" si="4"/>
        <v>6.2456469002415327</v>
      </c>
      <c r="L13" s="47">
        <f t="shared" si="4"/>
        <v>6.2456469002415327</v>
      </c>
      <c r="M13" s="50">
        <f t="shared" si="4"/>
        <v>6.2456469002415327</v>
      </c>
      <c r="N13" s="49">
        <f t="shared" si="4"/>
        <v>6.2456469002415327</v>
      </c>
      <c r="O13" s="47">
        <f t="shared" si="4"/>
        <v>6.2456469002415327</v>
      </c>
      <c r="P13" s="47">
        <f t="shared" si="4"/>
        <v>6.2456469002415327</v>
      </c>
      <c r="Q13" s="50">
        <f t="shared" si="4"/>
        <v>6.2456469002415327</v>
      </c>
      <c r="R13" s="49">
        <f t="shared" si="4"/>
        <v>6.2456469002415327</v>
      </c>
      <c r="S13" s="47">
        <f t="shared" si="4"/>
        <v>6.2456469002415327</v>
      </c>
      <c r="T13" s="47">
        <f t="shared" si="4"/>
        <v>6.2456469002415327</v>
      </c>
      <c r="U13" s="47">
        <f t="shared" si="4"/>
        <v>6.2456469002415327</v>
      </c>
      <c r="V13" s="50">
        <f t="shared" si="4"/>
        <v>6.2456469002415327</v>
      </c>
      <c r="W13" s="49">
        <f t="shared" si="4"/>
        <v>6.2456469002415327</v>
      </c>
      <c r="X13" s="47">
        <f t="shared" si="4"/>
        <v>6.2456469002415327</v>
      </c>
      <c r="Y13" s="47">
        <f t="shared" si="4"/>
        <v>6.2456469002415327</v>
      </c>
      <c r="Z13" s="50">
        <f t="shared" si="4"/>
        <v>6.2456469002415327</v>
      </c>
      <c r="AA13" s="49">
        <f t="shared" si="4"/>
        <v>6.2456469002415327</v>
      </c>
      <c r="AB13" s="47">
        <f t="shared" si="4"/>
        <v>6.2456469002415327</v>
      </c>
      <c r="AC13" s="47">
        <f t="shared" si="4"/>
        <v>6.2456469002415327</v>
      </c>
      <c r="AD13" s="50">
        <f t="shared" si="4"/>
        <v>6.2456469002415327</v>
      </c>
      <c r="AE13" s="49">
        <f t="shared" si="4"/>
        <v>6.2456469002415327</v>
      </c>
      <c r="AF13" s="47">
        <f t="shared" si="4"/>
        <v>6.2456469002415327</v>
      </c>
      <c r="AG13" s="47">
        <f t="shared" si="4"/>
        <v>6.2456469002415327</v>
      </c>
      <c r="AH13" s="47">
        <f t="shared" si="4"/>
        <v>6.2456469002415327</v>
      </c>
      <c r="AI13" s="50">
        <f t="shared" si="4"/>
        <v>6.2456469002415327</v>
      </c>
      <c r="AJ13" s="49">
        <f t="shared" si="4"/>
        <v>6.2456469002415327</v>
      </c>
      <c r="AK13" s="47">
        <f t="shared" si="4"/>
        <v>6.2456469002415327</v>
      </c>
      <c r="AL13" s="47">
        <f t="shared" si="4"/>
        <v>6.2456469002415327</v>
      </c>
      <c r="AM13" s="50">
        <f t="shared" si="4"/>
        <v>6.2456469002415327</v>
      </c>
      <c r="AN13" s="49">
        <f t="shared" si="4"/>
        <v>6.2456469002415327</v>
      </c>
      <c r="AO13" s="47">
        <f t="shared" si="4"/>
        <v>6.2456469002415327</v>
      </c>
      <c r="AP13" s="47">
        <f t="shared" si="4"/>
        <v>6.2456469002415327</v>
      </c>
      <c r="AQ13" s="47">
        <f t="shared" si="4"/>
        <v>6.2456469002415327</v>
      </c>
      <c r="AR13" s="50">
        <f t="shared" si="4"/>
        <v>6.2456469002415327</v>
      </c>
      <c r="AS13" s="49">
        <f t="shared" si="4"/>
        <v>6.2456469002415327</v>
      </c>
      <c r="AT13" s="47">
        <f t="shared" si="4"/>
        <v>6.2456469002415327</v>
      </c>
      <c r="AU13" s="47">
        <f t="shared" si="4"/>
        <v>6.2456469002415327</v>
      </c>
      <c r="AV13" s="50">
        <f t="shared" si="4"/>
        <v>6.2456469002415327</v>
      </c>
      <c r="AW13" s="49">
        <f t="shared" si="4"/>
        <v>6.2456469002415327</v>
      </c>
      <c r="AX13" s="47">
        <f t="shared" si="4"/>
        <v>6.2456469002415327</v>
      </c>
      <c r="AY13" s="47">
        <f t="shared" si="4"/>
        <v>6.2456469002415327</v>
      </c>
      <c r="AZ13" s="50">
        <f t="shared" si="4"/>
        <v>6.2456469002415327</v>
      </c>
      <c r="BA13" s="49">
        <f t="shared" si="4"/>
        <v>6.2456469002415327</v>
      </c>
      <c r="BB13" s="47">
        <f t="shared" si="4"/>
        <v>6.2456469002415327</v>
      </c>
      <c r="BC13" s="47">
        <f t="shared" si="4"/>
        <v>6.2456469002415327</v>
      </c>
      <c r="BD13" s="47">
        <f t="shared" si="4"/>
        <v>6.2456469002415327</v>
      </c>
      <c r="BE13" s="50">
        <f t="shared" si="4"/>
        <v>6.2456469002415327</v>
      </c>
    </row>
    <row r="14" spans="1:57" thickBot="1" x14ac:dyDescent="0.4">
      <c r="A14" t="s">
        <v>105</v>
      </c>
      <c r="B14" s="29">
        <f>B11/B13-1</f>
        <v>3.2250011543015766E-3</v>
      </c>
      <c r="C14" s="29">
        <f t="shared" ref="C14:E14" si="5">C11/C13-1</f>
        <v>-8.9689122665048693E-3</v>
      </c>
      <c r="D14" s="29">
        <f t="shared" si="5"/>
        <v>-8.2773061131014014E-3</v>
      </c>
      <c r="E14" s="34">
        <f t="shared" si="5"/>
        <v>-1.4490260174724323E-2</v>
      </c>
      <c r="F14" s="39">
        <f>F11/F13-1</f>
        <v>-7.0642255202498783E-3</v>
      </c>
      <c r="G14" s="40">
        <f t="shared" ref="G14:BE14" si="6">G11/G13-1</f>
        <v>-7.0642255202498783E-3</v>
      </c>
      <c r="H14" s="40">
        <f t="shared" si="6"/>
        <v>-7.0642255202498783E-3</v>
      </c>
      <c r="I14" s="41">
        <f t="shared" si="6"/>
        <v>-7.0642255202498783E-3</v>
      </c>
      <c r="J14" s="39">
        <f t="shared" si="6"/>
        <v>1.5054112023573651E-3</v>
      </c>
      <c r="K14" s="40">
        <f t="shared" si="6"/>
        <v>1.5054112023573651E-3</v>
      </c>
      <c r="L14" s="40">
        <f t="shared" si="6"/>
        <v>1.5054112023573651E-3</v>
      </c>
      <c r="M14" s="41">
        <f t="shared" si="6"/>
        <v>1.5054112023573651E-3</v>
      </c>
      <c r="N14" s="39">
        <f t="shared" si="6"/>
        <v>5.5588143178924021E-3</v>
      </c>
      <c r="O14" s="40">
        <f t="shared" si="6"/>
        <v>5.5588143178924021E-3</v>
      </c>
      <c r="P14" s="40">
        <f t="shared" si="6"/>
        <v>5.5588143178924021E-3</v>
      </c>
      <c r="Q14" s="41">
        <f t="shared" si="6"/>
        <v>5.5588143178924021E-3</v>
      </c>
      <c r="R14" s="39">
        <f t="shared" si="6"/>
        <v>1.2559249064265643E-2</v>
      </c>
      <c r="S14" s="40">
        <f t="shared" si="6"/>
        <v>1.2559249064265643E-2</v>
      </c>
      <c r="T14" s="40">
        <f t="shared" si="6"/>
        <v>1.2559249064265643E-2</v>
      </c>
      <c r="U14" s="40">
        <f t="shared" si="6"/>
        <v>1.2559249064265643E-2</v>
      </c>
      <c r="V14" s="41">
        <f t="shared" si="6"/>
        <v>1.2559249064265643E-2</v>
      </c>
      <c r="W14" s="39">
        <f t="shared" si="6"/>
        <v>1.7999006166875775E-2</v>
      </c>
      <c r="X14" s="40">
        <f t="shared" si="6"/>
        <v>1.9038841719650978E-2</v>
      </c>
      <c r="Y14" s="40">
        <f t="shared" si="6"/>
        <v>2.0080803725499363E-2</v>
      </c>
      <c r="Z14" s="41">
        <f t="shared" si="6"/>
        <v>2.2171133241330132E-2</v>
      </c>
      <c r="AA14" s="39" t="e">
        <f t="shared" si="6"/>
        <v>#DIV/0!</v>
      </c>
      <c r="AB14" s="40" t="e">
        <f t="shared" si="6"/>
        <v>#DIV/0!</v>
      </c>
      <c r="AC14" s="40" t="e">
        <f t="shared" si="6"/>
        <v>#DIV/0!</v>
      </c>
      <c r="AD14" s="41" t="e">
        <f t="shared" si="6"/>
        <v>#DIV/0!</v>
      </c>
      <c r="AE14" s="39" t="e">
        <f t="shared" si="6"/>
        <v>#DIV/0!</v>
      </c>
      <c r="AF14" s="40" t="e">
        <f t="shared" si="6"/>
        <v>#DIV/0!</v>
      </c>
      <c r="AG14" s="40" t="e">
        <f t="shared" si="6"/>
        <v>#DIV/0!</v>
      </c>
      <c r="AH14" s="40" t="e">
        <f t="shared" si="6"/>
        <v>#DIV/0!</v>
      </c>
      <c r="AI14" s="41" t="e">
        <f t="shared" si="6"/>
        <v>#DIV/0!</v>
      </c>
      <c r="AJ14" s="39" t="e">
        <f t="shared" si="6"/>
        <v>#DIV/0!</v>
      </c>
      <c r="AK14" s="40" t="e">
        <f t="shared" si="6"/>
        <v>#DIV/0!</v>
      </c>
      <c r="AL14" s="40" t="e">
        <f t="shared" si="6"/>
        <v>#DIV/0!</v>
      </c>
      <c r="AM14" s="41" t="e">
        <f t="shared" si="6"/>
        <v>#DIV/0!</v>
      </c>
      <c r="AN14" s="39" t="e">
        <f t="shared" si="6"/>
        <v>#DIV/0!</v>
      </c>
      <c r="AO14" s="40" t="e">
        <f t="shared" si="6"/>
        <v>#DIV/0!</v>
      </c>
      <c r="AP14" s="40" t="e">
        <f t="shared" si="6"/>
        <v>#DIV/0!</v>
      </c>
      <c r="AQ14" s="40" t="e">
        <f t="shared" si="6"/>
        <v>#DIV/0!</v>
      </c>
      <c r="AR14" s="41" t="e">
        <f t="shared" si="6"/>
        <v>#DIV/0!</v>
      </c>
      <c r="AS14" s="39" t="e">
        <f t="shared" si="6"/>
        <v>#DIV/0!</v>
      </c>
      <c r="AT14" s="40" t="e">
        <f t="shared" si="6"/>
        <v>#DIV/0!</v>
      </c>
      <c r="AU14" s="40" t="e">
        <f t="shared" si="6"/>
        <v>#DIV/0!</v>
      </c>
      <c r="AV14" s="41" t="e">
        <f t="shared" si="6"/>
        <v>#DIV/0!</v>
      </c>
      <c r="AW14" s="39" t="e">
        <f t="shared" si="6"/>
        <v>#DIV/0!</v>
      </c>
      <c r="AX14" s="40" t="e">
        <f t="shared" si="6"/>
        <v>#DIV/0!</v>
      </c>
      <c r="AY14" s="40" t="e">
        <f t="shared" si="6"/>
        <v>#DIV/0!</v>
      </c>
      <c r="AZ14" s="41" t="e">
        <f t="shared" si="6"/>
        <v>#DIV/0!</v>
      </c>
      <c r="BA14" s="39" t="e">
        <f t="shared" si="6"/>
        <v>#DIV/0!</v>
      </c>
      <c r="BB14" s="40" t="e">
        <f t="shared" si="6"/>
        <v>#DIV/0!</v>
      </c>
      <c r="BC14" s="40" t="e">
        <f t="shared" si="6"/>
        <v>#DIV/0!</v>
      </c>
      <c r="BD14" s="40" t="e">
        <f t="shared" si="6"/>
        <v>#DIV/0!</v>
      </c>
      <c r="BE14" s="41" t="e">
        <f t="shared" si="6"/>
        <v>#DIV/0!</v>
      </c>
    </row>
    <row r="17" spans="1:17" ht="14.45" x14ac:dyDescent="0.35">
      <c r="B17" s="28" t="s">
        <v>48</v>
      </c>
      <c r="C17" s="28" t="s">
        <v>49</v>
      </c>
      <c r="D17" s="28" t="s">
        <v>50</v>
      </c>
      <c r="E17" s="28" t="s">
        <v>51</v>
      </c>
      <c r="F17" s="31">
        <v>42385</v>
      </c>
      <c r="G17" s="31">
        <v>42416</v>
      </c>
      <c r="H17" s="31">
        <v>42445</v>
      </c>
      <c r="I17" s="31">
        <v>42476</v>
      </c>
      <c r="J17" s="31">
        <v>42506</v>
      </c>
      <c r="K17" s="31">
        <v>42537</v>
      </c>
      <c r="L17" s="31">
        <v>42567</v>
      </c>
      <c r="M17" s="31">
        <v>42598</v>
      </c>
      <c r="N17" s="31">
        <v>42629</v>
      </c>
      <c r="O17" s="31">
        <v>42659</v>
      </c>
      <c r="P17" s="31">
        <v>42690</v>
      </c>
      <c r="Q17" s="31">
        <v>42720</v>
      </c>
    </row>
    <row r="18" spans="1:17" s="46" customFormat="1" ht="14.45" x14ac:dyDescent="0.35">
      <c r="A18" s="46" t="s">
        <v>106</v>
      </c>
      <c r="B18" s="47">
        <f>B11</f>
        <v>6.3203175072721001</v>
      </c>
      <c r="C18" s="47">
        <f t="shared" ref="C18:E18" si="7">C11</f>
        <v>6.2434958527210194</v>
      </c>
      <c r="D18" s="47">
        <f t="shared" si="7"/>
        <v>6.2478529714874611</v>
      </c>
      <c r="E18" s="47">
        <f t="shared" si="7"/>
        <v>6.2087113608992368</v>
      </c>
      <c r="F18" s="47">
        <f>SUM(F3:I3)/SUM(F4:I4)</f>
        <v>6.2015262420183772</v>
      </c>
      <c r="G18" s="47">
        <f>SUM(J3:M3)/SUM(J4:M4)</f>
        <v>6.2550491670511255</v>
      </c>
      <c r="H18" s="47">
        <f>SUM(N3:Q3)/SUM(N4:Q4)</f>
        <v>6.2803652916550954</v>
      </c>
      <c r="I18" s="47">
        <f>SUM(R3:V3)/SUM(R4:V4)</f>
        <v>6.3240875352291246</v>
      </c>
      <c r="J18" s="47">
        <f>SUM(W3:Z3)/SUM(W4:Z4)</f>
        <v>6.3694363307629001</v>
      </c>
      <c r="K18" s="47" t="e">
        <f>SUM(AA3:AD3)/SUM(AA4:AD4)</f>
        <v>#DIV/0!</v>
      </c>
      <c r="L18" s="47" t="e">
        <f>SUM(AE3:AI3)/SUM(AE4:AI4)</f>
        <v>#DIV/0!</v>
      </c>
      <c r="M18" s="47" t="e">
        <f>SUM(AJ3:AM3)/SUM(AJ4:AM5)</f>
        <v>#DIV/0!</v>
      </c>
      <c r="N18" s="47" t="e">
        <f>SUM(AN3:AR3)/SUM(AN4:AR4)</f>
        <v>#DIV/0!</v>
      </c>
      <c r="O18" s="47" t="e">
        <f>SUM(AS3:AV3)/SUM(AS4:AV4)</f>
        <v>#DIV/0!</v>
      </c>
      <c r="P18" s="47" t="e">
        <f>SUM(AW3:AZ3)/SUM(AW4:AZ4)</f>
        <v>#DIV/0!</v>
      </c>
      <c r="Q18" s="47" t="e">
        <f>SUM(BA3:BE3)/SUM(BA4:BE4)</f>
        <v>#DIV/0!</v>
      </c>
    </row>
    <row r="19" spans="1:17" s="46" customFormat="1" ht="14.45" x14ac:dyDescent="0.35">
      <c r="A19" t="s">
        <v>114</v>
      </c>
      <c r="B19" s="30">
        <f>B18/B20-1</f>
        <v>3.2250011543015766E-3</v>
      </c>
      <c r="C19" s="30">
        <f>(AVERAGE($B18:C18))/C20-1</f>
        <v>-2.8719555561016463E-3</v>
      </c>
      <c r="D19" s="30">
        <f>(AVERAGE($B18:D18))/D20-1</f>
        <v>-4.6737390751014907E-3</v>
      </c>
      <c r="E19" s="30">
        <f>(AVERAGE($B18:E18))/E20-1</f>
        <v>-7.1278693500071988E-3</v>
      </c>
      <c r="F19" s="30">
        <f>F18/F20-1</f>
        <v>-7.0642255202498783E-3</v>
      </c>
      <c r="G19" s="30">
        <f>(SUM($F3:M3)/SUM($F4:M4))/G20-1</f>
        <v>-1.2938063346848994E-3</v>
      </c>
      <c r="H19" s="30">
        <f>(SUM($F3:N3)/SUM($F4:N4))/H20-1</f>
        <v>1.1773799381686878E-4</v>
      </c>
      <c r="I19" s="30">
        <f>(SUM($F3:O3)/SUM($F4:O4))/I20-1</f>
        <v>1.0470902567227824E-3</v>
      </c>
      <c r="J19" s="30">
        <f>(SUM($F3:P3)/SUM($F4:P4))/J20-1</f>
        <v>1.7052847421652473E-3</v>
      </c>
      <c r="K19" s="30">
        <f>(SUM($F3:Q3)/SUM($F4:Q4))/K20-1</f>
        <v>2.1958866526914367E-3</v>
      </c>
      <c r="L19" s="30">
        <f>(SUM($F3:R3)/SUM($F4:R4))/L20-1</f>
        <v>3.43126726859877E-3</v>
      </c>
      <c r="M19" s="30">
        <f>(SUM($F3:S3)/SUM($F4:S4))/M20-1</f>
        <v>4.4034874260763246E-3</v>
      </c>
      <c r="N19" s="30">
        <f>(SUM($F3:T3)/SUM($F4:T4))/N20-1</f>
        <v>5.1885406261029665E-3</v>
      </c>
      <c r="O19" s="30">
        <f>(SUM($F3:U3)/SUM($F4:U4))/O20-1</f>
        <v>5.8357297638431671E-3</v>
      </c>
      <c r="P19" s="30">
        <f>(SUM($F3:V3)/SUM($F4:V4))/P20-1</f>
        <v>6.3784391982590893E-3</v>
      </c>
      <c r="Q19" s="30">
        <f>(SUM($F3:W3)/SUM($F4:W4))/Q20-1</f>
        <v>7.6739401448757683E-3</v>
      </c>
    </row>
    <row r="20" spans="1:17" s="46" customFormat="1" ht="14.45" x14ac:dyDescent="0.35">
      <c r="A20" s="46" t="s">
        <v>47</v>
      </c>
      <c r="B20" s="47">
        <f>B13</f>
        <v>6.3</v>
      </c>
      <c r="C20" s="47">
        <f t="shared" ref="C20:E20" si="8">C13</f>
        <v>6.3</v>
      </c>
      <c r="D20" s="47">
        <f t="shared" si="8"/>
        <v>6.3</v>
      </c>
      <c r="E20" s="47">
        <f t="shared" si="8"/>
        <v>6.3</v>
      </c>
      <c r="F20" s="47">
        <f>F13</f>
        <v>6.2456469002415327</v>
      </c>
      <c r="G20" s="47">
        <f>F20</f>
        <v>6.2456469002415327</v>
      </c>
      <c r="H20" s="47">
        <f t="shared" ref="H20:Q20" si="9">G20</f>
        <v>6.2456469002415327</v>
      </c>
      <c r="I20" s="47">
        <f t="shared" si="9"/>
        <v>6.2456469002415327</v>
      </c>
      <c r="J20" s="47">
        <f t="shared" si="9"/>
        <v>6.2456469002415327</v>
      </c>
      <c r="K20" s="47">
        <f t="shared" si="9"/>
        <v>6.2456469002415327</v>
      </c>
      <c r="L20" s="47">
        <f t="shared" si="9"/>
        <v>6.2456469002415327</v>
      </c>
      <c r="M20" s="47">
        <f t="shared" si="9"/>
        <v>6.2456469002415327</v>
      </c>
      <c r="N20" s="47">
        <f t="shared" si="9"/>
        <v>6.2456469002415327</v>
      </c>
      <c r="O20" s="47">
        <f t="shared" si="9"/>
        <v>6.2456469002415327</v>
      </c>
      <c r="P20" s="47">
        <f t="shared" si="9"/>
        <v>6.2456469002415327</v>
      </c>
      <c r="Q20" s="47">
        <f t="shared" si="9"/>
        <v>6.2456469002415327</v>
      </c>
    </row>
    <row r="21" spans="1:17" ht="14.45" x14ac:dyDescent="0.35">
      <c r="A21" t="s">
        <v>105</v>
      </c>
      <c r="B21" s="29">
        <f>B18/B20-1</f>
        <v>3.2250011543015766E-3</v>
      </c>
      <c r="C21" s="29">
        <f t="shared" ref="C21:E21" si="10">C18/C20-1</f>
        <v>-8.9689122665048693E-3</v>
      </c>
      <c r="D21" s="29">
        <f t="shared" si="10"/>
        <v>-8.2773061131014014E-3</v>
      </c>
      <c r="E21" s="29">
        <f t="shared" si="10"/>
        <v>-1.4490260174724323E-2</v>
      </c>
      <c r="F21" s="30">
        <f>F18/F20-1</f>
        <v>-7.0642255202498783E-3</v>
      </c>
      <c r="G21" s="30">
        <f t="shared" ref="G21:Q21" si="11">G18/G20-1</f>
        <v>1.5054112023573651E-3</v>
      </c>
      <c r="H21" s="30">
        <f t="shared" si="11"/>
        <v>5.5588143178924021E-3</v>
      </c>
      <c r="I21" s="30">
        <f t="shared" si="11"/>
        <v>1.2559249064265643E-2</v>
      </c>
      <c r="J21" s="30">
        <f t="shared" si="11"/>
        <v>1.9820113512433846E-2</v>
      </c>
      <c r="K21" s="30" t="e">
        <f t="shared" si="11"/>
        <v>#DIV/0!</v>
      </c>
      <c r="L21" s="30" t="e">
        <f t="shared" si="11"/>
        <v>#DIV/0!</v>
      </c>
      <c r="M21" s="30" t="e">
        <f t="shared" si="11"/>
        <v>#DIV/0!</v>
      </c>
      <c r="N21" s="30" t="e">
        <f t="shared" si="11"/>
        <v>#DIV/0!</v>
      </c>
      <c r="O21" s="30" t="e">
        <f t="shared" si="11"/>
        <v>#DIV/0!</v>
      </c>
      <c r="P21" s="30" t="e">
        <f t="shared" si="11"/>
        <v>#DIV/0!</v>
      </c>
      <c r="Q21" s="30" t="e">
        <f t="shared" si="11"/>
        <v>#DIV/0!</v>
      </c>
    </row>
  </sheetData>
  <mergeCells count="26">
    <mergeCell ref="AN9:AR9"/>
    <mergeCell ref="AS9:AV9"/>
    <mergeCell ref="AW9:AZ9"/>
    <mergeCell ref="BA9:BE9"/>
    <mergeCell ref="BA1:BE1"/>
    <mergeCell ref="AN1:AR1"/>
    <mergeCell ref="AS1:AV1"/>
    <mergeCell ref="AW1:AZ1"/>
    <mergeCell ref="B9:E9"/>
    <mergeCell ref="F9:I9"/>
    <mergeCell ref="J9:M9"/>
    <mergeCell ref="N9:Q9"/>
    <mergeCell ref="R9:V9"/>
    <mergeCell ref="W9:Z9"/>
    <mergeCell ref="AA9:AD9"/>
    <mergeCell ref="AE9:AI9"/>
    <mergeCell ref="AJ9:AM9"/>
    <mergeCell ref="AA1:AD1"/>
    <mergeCell ref="AE1:AI1"/>
    <mergeCell ref="AJ1:AM1"/>
    <mergeCell ref="W1:Z1"/>
    <mergeCell ref="B1:E1"/>
    <mergeCell ref="F1:I1"/>
    <mergeCell ref="J1:M1"/>
    <mergeCell ref="N1:Q1"/>
    <mergeCell ref="R1:V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21"/>
  <sheetViews>
    <sheetView workbookViewId="0">
      <selection sqref="A1:XFD1048576"/>
    </sheetView>
  </sheetViews>
  <sheetFormatPr defaultRowHeight="15" x14ac:dyDescent="0.25"/>
  <cols>
    <col min="1" max="1" width="33.42578125" bestFit="1" customWidth="1"/>
    <col min="2" max="3" width="11.85546875" bestFit="1" customWidth="1"/>
    <col min="4" max="4" width="11.42578125" bestFit="1" customWidth="1"/>
    <col min="5" max="5" width="11.140625" bestFit="1" customWidth="1"/>
    <col min="6" max="13" width="10.5703125" bestFit="1" customWidth="1"/>
    <col min="14" max="17" width="10.85546875" bestFit="1" customWidth="1"/>
    <col min="18" max="26" width="11.42578125" bestFit="1" customWidth="1"/>
    <col min="27" max="35" width="9.140625" bestFit="1" customWidth="1"/>
    <col min="36" max="36" width="8.85546875" bestFit="1" customWidth="1"/>
    <col min="37" max="45" width="9.140625" bestFit="1" customWidth="1"/>
    <col min="46" max="46" width="8.85546875" bestFit="1" customWidth="1"/>
    <col min="47" max="47" width="9.140625" bestFit="1" customWidth="1"/>
    <col min="48" max="57" width="7.85546875" bestFit="1" customWidth="1"/>
  </cols>
  <sheetData>
    <row r="1" spans="1:57" s="32" customFormat="1" ht="14.45" x14ac:dyDescent="0.35">
      <c r="A1" s="32" t="s">
        <v>107</v>
      </c>
      <c r="B1" s="139">
        <v>2015</v>
      </c>
      <c r="C1" s="140"/>
      <c r="D1" s="140"/>
      <c r="E1" s="140"/>
      <c r="F1" s="141">
        <v>42385</v>
      </c>
      <c r="G1" s="142"/>
      <c r="H1" s="142"/>
      <c r="I1" s="143"/>
      <c r="J1" s="141">
        <v>42416</v>
      </c>
      <c r="K1" s="142"/>
      <c r="L1" s="142"/>
      <c r="M1" s="143"/>
      <c r="N1" s="144">
        <v>42445</v>
      </c>
      <c r="O1" s="145"/>
      <c r="P1" s="145"/>
      <c r="Q1" s="146"/>
      <c r="R1" s="144">
        <v>42476</v>
      </c>
      <c r="S1" s="145"/>
      <c r="T1" s="145"/>
      <c r="U1" s="145"/>
      <c r="V1" s="146"/>
      <c r="W1" s="144">
        <v>42506</v>
      </c>
      <c r="X1" s="145"/>
      <c r="Y1" s="145"/>
      <c r="Z1" s="146"/>
      <c r="AA1" s="144">
        <v>42537</v>
      </c>
      <c r="AB1" s="145"/>
      <c r="AC1" s="145"/>
      <c r="AD1" s="146"/>
      <c r="AE1" s="144">
        <v>42567</v>
      </c>
      <c r="AF1" s="145"/>
      <c r="AG1" s="145"/>
      <c r="AH1" s="145"/>
      <c r="AI1" s="146"/>
      <c r="AJ1" s="144">
        <v>42598</v>
      </c>
      <c r="AK1" s="145"/>
      <c r="AL1" s="145"/>
      <c r="AM1" s="146"/>
      <c r="AN1" s="144">
        <v>42629</v>
      </c>
      <c r="AO1" s="145"/>
      <c r="AP1" s="145"/>
      <c r="AQ1" s="145"/>
      <c r="AR1" s="146"/>
      <c r="AS1" s="144">
        <v>42659</v>
      </c>
      <c r="AT1" s="145"/>
      <c r="AU1" s="145"/>
      <c r="AV1" s="146"/>
      <c r="AW1" s="144">
        <v>42690</v>
      </c>
      <c r="AX1" s="145"/>
      <c r="AY1" s="145"/>
      <c r="AZ1" s="146"/>
      <c r="BA1" s="144">
        <v>42720</v>
      </c>
      <c r="BB1" s="145"/>
      <c r="BC1" s="145"/>
      <c r="BD1" s="145"/>
      <c r="BE1" s="146"/>
    </row>
    <row r="2" spans="1:57" ht="14.45" x14ac:dyDescent="0.35">
      <c r="B2" s="28" t="s">
        <v>48</v>
      </c>
      <c r="C2" s="28" t="s">
        <v>49</v>
      </c>
      <c r="D2" s="28" t="s">
        <v>50</v>
      </c>
      <c r="E2" s="33" t="s">
        <v>51</v>
      </c>
      <c r="F2" s="35" t="s">
        <v>52</v>
      </c>
      <c r="G2" s="28" t="s">
        <v>53</v>
      </c>
      <c r="H2" s="28" t="s">
        <v>54</v>
      </c>
      <c r="I2" s="36" t="s">
        <v>55</v>
      </c>
      <c r="J2" s="35" t="s">
        <v>56</v>
      </c>
      <c r="K2" s="28" t="s">
        <v>57</v>
      </c>
      <c r="L2" s="28" t="s">
        <v>58</v>
      </c>
      <c r="M2" s="36" t="s">
        <v>59</v>
      </c>
      <c r="N2" s="35" t="s">
        <v>60</v>
      </c>
      <c r="O2" s="28" t="s">
        <v>61</v>
      </c>
      <c r="P2" s="28" t="s">
        <v>62</v>
      </c>
      <c r="Q2" s="36" t="s">
        <v>63</v>
      </c>
      <c r="R2" s="35" t="s">
        <v>64</v>
      </c>
      <c r="S2" s="28" t="s">
        <v>65</v>
      </c>
      <c r="T2" s="28" t="s">
        <v>66</v>
      </c>
      <c r="U2" s="28" t="s">
        <v>67</v>
      </c>
      <c r="V2" s="36" t="s">
        <v>68</v>
      </c>
      <c r="W2" s="35" t="s">
        <v>69</v>
      </c>
      <c r="X2" s="28" t="s">
        <v>70</v>
      </c>
      <c r="Y2" s="28" t="s">
        <v>71</v>
      </c>
      <c r="Z2" s="36" t="s">
        <v>72</v>
      </c>
      <c r="AA2" s="35" t="s">
        <v>73</v>
      </c>
      <c r="AB2" s="28" t="s">
        <v>74</v>
      </c>
      <c r="AC2" s="28" t="s">
        <v>75</v>
      </c>
      <c r="AD2" s="36" t="s">
        <v>76</v>
      </c>
      <c r="AE2" s="35" t="s">
        <v>77</v>
      </c>
      <c r="AF2" s="28" t="s">
        <v>78</v>
      </c>
      <c r="AG2" s="28" t="s">
        <v>79</v>
      </c>
      <c r="AH2" s="28" t="s">
        <v>80</v>
      </c>
      <c r="AI2" s="36" t="s">
        <v>81</v>
      </c>
      <c r="AJ2" s="35" t="s">
        <v>82</v>
      </c>
      <c r="AK2" s="28" t="s">
        <v>83</v>
      </c>
      <c r="AL2" s="28" t="s">
        <v>84</v>
      </c>
      <c r="AM2" s="36" t="s">
        <v>85</v>
      </c>
      <c r="AN2" s="35" t="s">
        <v>86</v>
      </c>
      <c r="AO2" s="28" t="s">
        <v>87</v>
      </c>
      <c r="AP2" s="28" t="s">
        <v>88</v>
      </c>
      <c r="AQ2" s="28" t="s">
        <v>89</v>
      </c>
      <c r="AR2" s="36" t="s">
        <v>90</v>
      </c>
      <c r="AS2" s="35" t="s">
        <v>91</v>
      </c>
      <c r="AT2" s="28" t="s">
        <v>92</v>
      </c>
      <c r="AU2" s="28" t="s">
        <v>93</v>
      </c>
      <c r="AV2" s="36" t="s">
        <v>94</v>
      </c>
      <c r="AW2" s="35" t="s">
        <v>95</v>
      </c>
      <c r="AX2" s="28" t="s">
        <v>96</v>
      </c>
      <c r="AY2" s="28" t="s">
        <v>97</v>
      </c>
      <c r="AZ2" s="36" t="s">
        <v>98</v>
      </c>
      <c r="BA2" s="35" t="s">
        <v>99</v>
      </c>
      <c r="BB2" s="28" t="s">
        <v>100</v>
      </c>
      <c r="BC2" s="28" t="s">
        <v>101</v>
      </c>
      <c r="BD2" s="28" t="s">
        <v>102</v>
      </c>
      <c r="BE2" s="36" t="s">
        <v>103</v>
      </c>
    </row>
    <row r="3" spans="1:57" s="46" customFormat="1" ht="14.45" x14ac:dyDescent="0.35">
      <c r="A3" s="46" t="s">
        <v>109</v>
      </c>
      <c r="B3" s="61">
        <f>'PC% - AAG'!B3*15</f>
        <v>384585</v>
      </c>
      <c r="C3" s="61">
        <f>'PC% - AAG'!C3*15</f>
        <v>385770</v>
      </c>
      <c r="D3" s="61">
        <f>'PC% - AAG'!D3*15</f>
        <v>400125</v>
      </c>
      <c r="E3" s="61">
        <f>'PC% - AAG'!E3*15</f>
        <v>371181.6</v>
      </c>
      <c r="F3" s="61">
        <f>'PC% - AAG'!F3*15</f>
        <v>29865</v>
      </c>
      <c r="G3" s="61">
        <f>'PC% - AAG'!G3*15</f>
        <v>29865</v>
      </c>
      <c r="H3" s="61">
        <f>'PC% - AAG'!H3*15</f>
        <v>29865</v>
      </c>
      <c r="I3" s="61">
        <f>'PC% - AAG'!I3*15</f>
        <v>29865</v>
      </c>
      <c r="J3" s="61">
        <f>'PC% - AAG'!J3*15</f>
        <v>62096.25</v>
      </c>
      <c r="K3" s="61">
        <f>'PC% - AAG'!K3*15</f>
        <v>62096.25</v>
      </c>
      <c r="L3" s="61">
        <f>'PC% - AAG'!L3*15</f>
        <v>62096.25</v>
      </c>
      <c r="M3" s="61">
        <f>'PC% - AAG'!M3*15</f>
        <v>62096.25</v>
      </c>
      <c r="N3" s="61">
        <f>'PC% - AAG'!N3*15</f>
        <v>96082.5</v>
      </c>
      <c r="O3" s="61">
        <f>'PC% - AAG'!O3*15</f>
        <v>96082.5</v>
      </c>
      <c r="P3" s="61">
        <f>'PC% - AAG'!P3*15</f>
        <v>96082.5</v>
      </c>
      <c r="Q3" s="61">
        <f>'PC% - AAG'!Q3*15</f>
        <v>96082.5</v>
      </c>
      <c r="R3" s="61">
        <f>'PC% - AAG'!R3*15</f>
        <v>102852</v>
      </c>
      <c r="S3" s="61">
        <f>'PC% - AAG'!S3*15</f>
        <v>102852</v>
      </c>
      <c r="T3" s="61">
        <f>'PC% - AAG'!T3*15</f>
        <v>102852</v>
      </c>
      <c r="U3" s="61">
        <f>'PC% - AAG'!U3*15</f>
        <v>102852</v>
      </c>
      <c r="V3" s="61">
        <f>'PC% - AAG'!V3*15</f>
        <v>102852</v>
      </c>
      <c r="W3" s="61">
        <f>'PC% - AAG'!W3*15</f>
        <v>160736.25</v>
      </c>
      <c r="X3" s="61">
        <f>'PC% - AAG'!X3*15</f>
        <v>160736.25</v>
      </c>
      <c r="Y3" s="61">
        <f>'PC% - AAG'!Y3*15</f>
        <v>160736.25</v>
      </c>
      <c r="Z3" s="61">
        <f>'PC% - AAG'!Z3*15</f>
        <v>160736.25</v>
      </c>
      <c r="AA3" s="49"/>
      <c r="AB3" s="49"/>
      <c r="AC3" s="49"/>
      <c r="AD3" s="49"/>
      <c r="AE3" s="49"/>
      <c r="AF3" s="47"/>
      <c r="AG3" s="47"/>
      <c r="AH3" s="47"/>
      <c r="AI3" s="50"/>
      <c r="AJ3" s="49"/>
      <c r="AK3" s="47"/>
      <c r="AL3" s="47"/>
      <c r="AM3" s="50"/>
      <c r="AN3" s="49"/>
      <c r="AO3" s="47"/>
      <c r="AP3" s="47"/>
      <c r="AQ3" s="47"/>
      <c r="AR3" s="50"/>
      <c r="AS3" s="49"/>
      <c r="AT3" s="47"/>
      <c r="AU3" s="47"/>
      <c r="AV3" s="50"/>
      <c r="AW3" s="49"/>
      <c r="AX3" s="47"/>
      <c r="AY3" s="47"/>
      <c r="AZ3" s="50"/>
      <c r="BA3" s="49"/>
      <c r="BB3" s="47"/>
      <c r="BC3" s="47"/>
      <c r="BD3" s="47"/>
      <c r="BE3" s="50"/>
    </row>
    <row r="4" spans="1:57" s="42" customFormat="1" thickBot="1" x14ac:dyDescent="0.4">
      <c r="A4" s="42" t="s">
        <v>110</v>
      </c>
      <c r="B4" s="43">
        <v>60849</v>
      </c>
      <c r="C4" s="43">
        <v>61787.5</v>
      </c>
      <c r="D4" s="43">
        <v>64042</v>
      </c>
      <c r="E4" s="51">
        <v>59784</v>
      </c>
      <c r="F4" s="58">
        <v>4815.75</v>
      </c>
      <c r="G4" s="59">
        <v>4815.75</v>
      </c>
      <c r="H4" s="59">
        <v>4815.75</v>
      </c>
      <c r="I4" s="60">
        <v>4815.75</v>
      </c>
      <c r="J4" s="58">
        <v>9927.3799999999992</v>
      </c>
      <c r="K4" s="59">
        <v>9927.3799999999992</v>
      </c>
      <c r="L4" s="59">
        <v>9927.3799999999992</v>
      </c>
      <c r="M4" s="60">
        <v>9927.3799999999992</v>
      </c>
      <c r="N4" s="58">
        <f>15375.75*0.995</f>
        <v>15298.87125</v>
      </c>
      <c r="O4" s="58">
        <f t="shared" ref="O4:Q4" si="0">15375.75*0.995</f>
        <v>15298.87125</v>
      </c>
      <c r="P4" s="58">
        <f t="shared" si="0"/>
        <v>15298.87125</v>
      </c>
      <c r="Q4" s="58">
        <f t="shared" si="0"/>
        <v>15298.87125</v>
      </c>
      <c r="R4" s="58">
        <f>16511.2*0.985</f>
        <v>16263.532000000001</v>
      </c>
      <c r="S4" s="58">
        <f t="shared" ref="S4:V4" si="1">16511.2*0.985</f>
        <v>16263.532000000001</v>
      </c>
      <c r="T4" s="58">
        <f t="shared" si="1"/>
        <v>16263.532000000001</v>
      </c>
      <c r="U4" s="58">
        <f t="shared" si="1"/>
        <v>16263.532000000001</v>
      </c>
      <c r="V4" s="58">
        <f t="shared" si="1"/>
        <v>16263.532000000001</v>
      </c>
      <c r="W4" s="58">
        <f>25796.63*0.98</f>
        <v>25280.697400000001</v>
      </c>
      <c r="X4" s="58">
        <f>25796.63*0.979</f>
        <v>25254.90077</v>
      </c>
      <c r="Y4" s="58">
        <f>25796.63*0.978</f>
        <v>25229.104139999999</v>
      </c>
      <c r="Z4" s="58">
        <f>25796.63*0.976</f>
        <v>25177.510880000002</v>
      </c>
      <c r="AA4" s="58"/>
      <c r="AB4" s="59"/>
      <c r="AC4" s="59"/>
      <c r="AD4" s="60"/>
      <c r="AE4" s="44"/>
      <c r="AF4" s="43"/>
      <c r="AG4" s="43"/>
      <c r="AH4" s="43"/>
      <c r="AI4" s="45"/>
      <c r="AJ4" s="44"/>
      <c r="AK4" s="43"/>
      <c r="AL4" s="43"/>
      <c r="AM4" s="45"/>
      <c r="AN4" s="44"/>
      <c r="AO4" s="43"/>
      <c r="AP4" s="43"/>
      <c r="AQ4" s="43"/>
      <c r="AR4" s="45"/>
      <c r="AS4" s="44"/>
      <c r="AT4" s="43"/>
      <c r="AU4" s="43"/>
      <c r="AV4" s="45"/>
      <c r="AW4" s="44"/>
      <c r="AX4" s="43"/>
      <c r="AY4" s="43"/>
      <c r="AZ4" s="45"/>
      <c r="BA4" s="44"/>
      <c r="BB4" s="43"/>
      <c r="BC4" s="43"/>
      <c r="BD4" s="43"/>
      <c r="BE4" s="45"/>
    </row>
    <row r="6" spans="1:57" ht="14.45" x14ac:dyDescent="0.35">
      <c r="A6" t="s">
        <v>115</v>
      </c>
    </row>
    <row r="7" spans="1:57" ht="14.45" x14ac:dyDescent="0.35">
      <c r="A7" t="s">
        <v>116</v>
      </c>
    </row>
    <row r="8" spans="1:57" thickBot="1" x14ac:dyDescent="0.4"/>
    <row r="9" spans="1:57" s="32" customFormat="1" ht="14.45" x14ac:dyDescent="0.35">
      <c r="A9" s="32" t="s">
        <v>107</v>
      </c>
      <c r="B9" s="139">
        <v>2015</v>
      </c>
      <c r="C9" s="140"/>
      <c r="D9" s="140"/>
      <c r="E9" s="140"/>
      <c r="F9" s="141">
        <v>42385</v>
      </c>
      <c r="G9" s="142"/>
      <c r="H9" s="142"/>
      <c r="I9" s="143"/>
      <c r="J9" s="141">
        <v>42416</v>
      </c>
      <c r="K9" s="142"/>
      <c r="L9" s="142"/>
      <c r="M9" s="143"/>
      <c r="N9" s="144">
        <v>42445</v>
      </c>
      <c r="O9" s="145"/>
      <c r="P9" s="145"/>
      <c r="Q9" s="146"/>
      <c r="R9" s="144">
        <v>42476</v>
      </c>
      <c r="S9" s="145"/>
      <c r="T9" s="145"/>
      <c r="U9" s="145"/>
      <c r="V9" s="146"/>
      <c r="W9" s="144">
        <v>42506</v>
      </c>
      <c r="X9" s="145"/>
      <c r="Y9" s="145"/>
      <c r="Z9" s="146"/>
      <c r="AA9" s="144">
        <v>42537</v>
      </c>
      <c r="AB9" s="145"/>
      <c r="AC9" s="145"/>
      <c r="AD9" s="146"/>
      <c r="AE9" s="144">
        <v>42567</v>
      </c>
      <c r="AF9" s="145"/>
      <c r="AG9" s="145"/>
      <c r="AH9" s="145"/>
      <c r="AI9" s="146"/>
      <c r="AJ9" s="144">
        <v>42598</v>
      </c>
      <c r="AK9" s="145"/>
      <c r="AL9" s="145"/>
      <c r="AM9" s="146"/>
      <c r="AN9" s="144">
        <v>42629</v>
      </c>
      <c r="AO9" s="145"/>
      <c r="AP9" s="145"/>
      <c r="AQ9" s="145"/>
      <c r="AR9" s="146"/>
      <c r="AS9" s="144">
        <v>42659</v>
      </c>
      <c r="AT9" s="145"/>
      <c r="AU9" s="145"/>
      <c r="AV9" s="146"/>
      <c r="AW9" s="144">
        <v>42690</v>
      </c>
      <c r="AX9" s="145"/>
      <c r="AY9" s="145"/>
      <c r="AZ9" s="146"/>
      <c r="BA9" s="144">
        <v>42720</v>
      </c>
      <c r="BB9" s="145"/>
      <c r="BC9" s="145"/>
      <c r="BD9" s="145"/>
      <c r="BE9" s="146"/>
    </row>
    <row r="10" spans="1:57" ht="14.45" x14ac:dyDescent="0.35">
      <c r="B10" s="28" t="s">
        <v>48</v>
      </c>
      <c r="C10" s="28" t="s">
        <v>49</v>
      </c>
      <c r="D10" s="28" t="s">
        <v>50</v>
      </c>
      <c r="E10" s="33" t="s">
        <v>51</v>
      </c>
      <c r="F10" s="35" t="s">
        <v>52</v>
      </c>
      <c r="G10" s="28" t="s">
        <v>53</v>
      </c>
      <c r="H10" s="28" t="s">
        <v>54</v>
      </c>
      <c r="I10" s="36" t="s">
        <v>55</v>
      </c>
      <c r="J10" s="35" t="s">
        <v>56</v>
      </c>
      <c r="K10" s="28" t="s">
        <v>57</v>
      </c>
      <c r="L10" s="28" t="s">
        <v>58</v>
      </c>
      <c r="M10" s="36" t="s">
        <v>59</v>
      </c>
      <c r="N10" s="35" t="s">
        <v>60</v>
      </c>
      <c r="O10" s="28" t="s">
        <v>61</v>
      </c>
      <c r="P10" s="28" t="s">
        <v>62</v>
      </c>
      <c r="Q10" s="36" t="s">
        <v>63</v>
      </c>
      <c r="R10" s="35" t="s">
        <v>64</v>
      </c>
      <c r="S10" s="28" t="s">
        <v>65</v>
      </c>
      <c r="T10" s="28" t="s">
        <v>66</v>
      </c>
      <c r="U10" s="28" t="s">
        <v>67</v>
      </c>
      <c r="V10" s="36" t="s">
        <v>68</v>
      </c>
      <c r="W10" s="35" t="s">
        <v>69</v>
      </c>
      <c r="X10" s="28" t="s">
        <v>70</v>
      </c>
      <c r="Y10" s="28" t="s">
        <v>71</v>
      </c>
      <c r="Z10" s="36" t="s">
        <v>72</v>
      </c>
      <c r="AA10" s="35" t="s">
        <v>73</v>
      </c>
      <c r="AB10" s="28" t="s">
        <v>74</v>
      </c>
      <c r="AC10" s="28" t="s">
        <v>75</v>
      </c>
      <c r="AD10" s="36" t="s">
        <v>76</v>
      </c>
      <c r="AE10" s="35" t="s">
        <v>77</v>
      </c>
      <c r="AF10" s="28" t="s">
        <v>78</v>
      </c>
      <c r="AG10" s="28" t="s">
        <v>79</v>
      </c>
      <c r="AH10" s="28" t="s">
        <v>80</v>
      </c>
      <c r="AI10" s="36" t="s">
        <v>81</v>
      </c>
      <c r="AJ10" s="35" t="s">
        <v>82</v>
      </c>
      <c r="AK10" s="28" t="s">
        <v>83</v>
      </c>
      <c r="AL10" s="28" t="s">
        <v>84</v>
      </c>
      <c r="AM10" s="36" t="s">
        <v>85</v>
      </c>
      <c r="AN10" s="35" t="s">
        <v>86</v>
      </c>
      <c r="AO10" s="28" t="s">
        <v>87</v>
      </c>
      <c r="AP10" s="28" t="s">
        <v>88</v>
      </c>
      <c r="AQ10" s="28" t="s">
        <v>89</v>
      </c>
      <c r="AR10" s="36" t="s">
        <v>90</v>
      </c>
      <c r="AS10" s="35" t="s">
        <v>91</v>
      </c>
      <c r="AT10" s="28" t="s">
        <v>92</v>
      </c>
      <c r="AU10" s="28" t="s">
        <v>93</v>
      </c>
      <c r="AV10" s="36" t="s">
        <v>94</v>
      </c>
      <c r="AW10" s="35" t="s">
        <v>95</v>
      </c>
      <c r="AX10" s="28" t="s">
        <v>96</v>
      </c>
      <c r="AY10" s="28" t="s">
        <v>97</v>
      </c>
      <c r="AZ10" s="36" t="s">
        <v>98</v>
      </c>
      <c r="BA10" s="35" t="s">
        <v>99</v>
      </c>
      <c r="BB10" s="28" t="s">
        <v>100</v>
      </c>
      <c r="BC10" s="28" t="s">
        <v>101</v>
      </c>
      <c r="BD10" s="28" t="s">
        <v>102</v>
      </c>
      <c r="BE10" s="36" t="s">
        <v>103</v>
      </c>
    </row>
    <row r="11" spans="1:57" s="46" customFormat="1" ht="14.45" x14ac:dyDescent="0.35">
      <c r="A11" s="46" t="s">
        <v>104</v>
      </c>
      <c r="B11" s="47">
        <f>B3/B4</f>
        <v>6.3203175072721001</v>
      </c>
      <c r="C11" s="47">
        <f t="shared" ref="C11:E11" si="2">C3/C4</f>
        <v>6.2434958527210194</v>
      </c>
      <c r="D11" s="47">
        <f t="shared" si="2"/>
        <v>6.2478529714874611</v>
      </c>
      <c r="E11" s="47">
        <f t="shared" si="2"/>
        <v>6.2087113608992368</v>
      </c>
      <c r="F11" s="49">
        <f>F3/F4</f>
        <v>6.2015262420183772</v>
      </c>
      <c r="G11" s="49">
        <f t="shared" ref="G11:BE11" si="3">G3/G4</f>
        <v>6.2015262420183772</v>
      </c>
      <c r="H11" s="49">
        <f t="shared" si="3"/>
        <v>6.2015262420183772</v>
      </c>
      <c r="I11" s="49">
        <f t="shared" si="3"/>
        <v>6.2015262420183772</v>
      </c>
      <c r="J11" s="49">
        <f t="shared" si="3"/>
        <v>6.2550491670511255</v>
      </c>
      <c r="K11" s="49">
        <f t="shared" si="3"/>
        <v>6.2550491670511255</v>
      </c>
      <c r="L11" s="49">
        <f t="shared" si="3"/>
        <v>6.2550491670511255</v>
      </c>
      <c r="M11" s="49">
        <f t="shared" si="3"/>
        <v>6.2550491670511255</v>
      </c>
      <c r="N11" s="49">
        <f t="shared" si="3"/>
        <v>6.2803652916550954</v>
      </c>
      <c r="O11" s="49">
        <f t="shared" si="3"/>
        <v>6.2803652916550954</v>
      </c>
      <c r="P11" s="49">
        <f t="shared" si="3"/>
        <v>6.2803652916550954</v>
      </c>
      <c r="Q11" s="49">
        <f t="shared" si="3"/>
        <v>6.2803652916550954</v>
      </c>
      <c r="R11" s="49">
        <f t="shared" si="3"/>
        <v>6.3240875352291246</v>
      </c>
      <c r="S11" s="49">
        <f t="shared" si="3"/>
        <v>6.3240875352291246</v>
      </c>
      <c r="T11" s="49">
        <f t="shared" si="3"/>
        <v>6.3240875352291246</v>
      </c>
      <c r="U11" s="49">
        <f t="shared" si="3"/>
        <v>6.3240875352291246</v>
      </c>
      <c r="V11" s="49">
        <f t="shared" si="3"/>
        <v>6.3240875352291246</v>
      </c>
      <c r="W11" s="49">
        <f t="shared" si="3"/>
        <v>6.3580623373151086</v>
      </c>
      <c r="X11" s="49">
        <f t="shared" si="3"/>
        <v>6.36455678301206</v>
      </c>
      <c r="Y11" s="49">
        <f t="shared" si="3"/>
        <v>6.3710645097840564</v>
      </c>
      <c r="Z11" s="49">
        <f t="shared" si="3"/>
        <v>6.3841199698450888</v>
      </c>
      <c r="AA11" s="49" t="e">
        <f t="shared" si="3"/>
        <v>#DIV/0!</v>
      </c>
      <c r="AB11" s="49" t="e">
        <f t="shared" si="3"/>
        <v>#DIV/0!</v>
      </c>
      <c r="AC11" s="49" t="e">
        <f t="shared" si="3"/>
        <v>#DIV/0!</v>
      </c>
      <c r="AD11" s="49" t="e">
        <f t="shared" si="3"/>
        <v>#DIV/0!</v>
      </c>
      <c r="AE11" s="49" t="e">
        <f t="shared" si="3"/>
        <v>#DIV/0!</v>
      </c>
      <c r="AF11" s="49" t="e">
        <f t="shared" si="3"/>
        <v>#DIV/0!</v>
      </c>
      <c r="AG11" s="49" t="e">
        <f t="shared" si="3"/>
        <v>#DIV/0!</v>
      </c>
      <c r="AH11" s="49" t="e">
        <f t="shared" si="3"/>
        <v>#DIV/0!</v>
      </c>
      <c r="AI11" s="49" t="e">
        <f t="shared" si="3"/>
        <v>#DIV/0!</v>
      </c>
      <c r="AJ11" s="49" t="e">
        <f t="shared" si="3"/>
        <v>#DIV/0!</v>
      </c>
      <c r="AK11" s="49" t="e">
        <f t="shared" si="3"/>
        <v>#DIV/0!</v>
      </c>
      <c r="AL11" s="49" t="e">
        <f t="shared" si="3"/>
        <v>#DIV/0!</v>
      </c>
      <c r="AM11" s="49" t="e">
        <f t="shared" si="3"/>
        <v>#DIV/0!</v>
      </c>
      <c r="AN11" s="49" t="e">
        <f t="shared" si="3"/>
        <v>#DIV/0!</v>
      </c>
      <c r="AO11" s="49" t="e">
        <f t="shared" si="3"/>
        <v>#DIV/0!</v>
      </c>
      <c r="AP11" s="49" t="e">
        <f t="shared" si="3"/>
        <v>#DIV/0!</v>
      </c>
      <c r="AQ11" s="49" t="e">
        <f t="shared" si="3"/>
        <v>#DIV/0!</v>
      </c>
      <c r="AR11" s="49" t="e">
        <f t="shared" si="3"/>
        <v>#DIV/0!</v>
      </c>
      <c r="AS11" s="49" t="e">
        <f t="shared" si="3"/>
        <v>#DIV/0!</v>
      </c>
      <c r="AT11" s="49" t="e">
        <f t="shared" si="3"/>
        <v>#DIV/0!</v>
      </c>
      <c r="AU11" s="49" t="e">
        <f t="shared" si="3"/>
        <v>#DIV/0!</v>
      </c>
      <c r="AV11" s="49" t="e">
        <f t="shared" si="3"/>
        <v>#DIV/0!</v>
      </c>
      <c r="AW11" s="49" t="e">
        <f t="shared" si="3"/>
        <v>#DIV/0!</v>
      </c>
      <c r="AX11" s="49" t="e">
        <f t="shared" si="3"/>
        <v>#DIV/0!</v>
      </c>
      <c r="AY11" s="49" t="e">
        <f t="shared" si="3"/>
        <v>#DIV/0!</v>
      </c>
      <c r="AZ11" s="49" t="e">
        <f t="shared" si="3"/>
        <v>#DIV/0!</v>
      </c>
      <c r="BA11" s="49" t="e">
        <f t="shared" si="3"/>
        <v>#DIV/0!</v>
      </c>
      <c r="BB11" s="49" t="e">
        <f t="shared" si="3"/>
        <v>#DIV/0!</v>
      </c>
      <c r="BC11" s="49" t="e">
        <f t="shared" si="3"/>
        <v>#DIV/0!</v>
      </c>
      <c r="BD11" s="49" t="e">
        <f t="shared" si="3"/>
        <v>#DIV/0!</v>
      </c>
      <c r="BE11" s="49" t="e">
        <f t="shared" si="3"/>
        <v>#DIV/0!</v>
      </c>
    </row>
    <row r="12" spans="1:57" s="46" customFormat="1" ht="14.45" x14ac:dyDescent="0.35">
      <c r="A12" t="s">
        <v>114</v>
      </c>
      <c r="B12" s="30">
        <f>B11/B13-1</f>
        <v>3.2250011543015766E-3</v>
      </c>
      <c r="C12" s="30">
        <f>(AVERAGE($B11:C11))/C13-1</f>
        <v>-2.8719555561016463E-3</v>
      </c>
      <c r="D12" s="30">
        <f>(AVERAGE($B11:D11))/D13-1</f>
        <v>-4.6737390751014907E-3</v>
      </c>
      <c r="E12" s="30">
        <f>(AVERAGE($B11:E11))/E13-1</f>
        <v>-7.1278693500071988E-3</v>
      </c>
      <c r="F12" s="62">
        <f>F11/F13-1</f>
        <v>-7.0642255202498783E-3</v>
      </c>
      <c r="G12" s="30">
        <f>(SUM($F3:G3)/SUM($F4:G4))/G13-1</f>
        <v>-7.0642255202498783E-3</v>
      </c>
      <c r="H12" s="30">
        <f>(SUM($F3:H3)/SUM($F4:H4))/H13-1</f>
        <v>-7.0642255202498783E-3</v>
      </c>
      <c r="I12" s="30">
        <f>(SUM($F3:I3)/SUM($F4:I4))/I13-1</f>
        <v>-7.0642255202498783E-3</v>
      </c>
      <c r="J12" s="30">
        <f>(SUM($F3:J3)/SUM($F4:J4))/J13-1</f>
        <v>-4.1497708195135097E-3</v>
      </c>
      <c r="K12" s="30">
        <f>(SUM($F3:K3)/SUM($F4:K4))/K13-1</f>
        <v>-2.7145879025907149E-3</v>
      </c>
      <c r="L12" s="30">
        <f>(SUM($F3:L3)/SUM($F4:L4))/L13-1</f>
        <v>-1.8604047008611291E-3</v>
      </c>
      <c r="M12" s="30">
        <f>(SUM($F3:M3)/SUM($F4:M4))/M13-1</f>
        <v>-1.2938063346848994E-3</v>
      </c>
      <c r="N12" s="30">
        <f>(SUM($F3:N3)/SUM($F4:N4))/N13-1</f>
        <v>1.1773799381686878E-4</v>
      </c>
      <c r="O12" s="30">
        <f>(SUM($F3:O3)/SUM($F4:O4))/O13-1</f>
        <v>1.0470902567227824E-3</v>
      </c>
      <c r="P12" s="30">
        <f>(SUM($F3:P3)/SUM($F4:P4))/P13-1</f>
        <v>1.7052847421652473E-3</v>
      </c>
      <c r="Q12" s="30">
        <f>(SUM($F3:Q3)/SUM($F4:Q4))/Q13-1</f>
        <v>2.1958866526914367E-3</v>
      </c>
      <c r="R12" s="30">
        <f>(SUM($F3:R3)/SUM($F4:R4))/R13-1</f>
        <v>3.43126726859877E-3</v>
      </c>
      <c r="S12" s="30">
        <f>(SUM($F3:S3)/SUM($F4:S4))/S13-1</f>
        <v>4.4034874260763246E-3</v>
      </c>
      <c r="T12" s="30">
        <f>(SUM($F3:T3)/SUM($F4:T4))/T13-1</f>
        <v>5.1885406261029665E-3</v>
      </c>
      <c r="U12" s="30">
        <f>(SUM($F3:U3)/SUM($F4:U4))/U13-1</f>
        <v>5.8357297638431671E-3</v>
      </c>
      <c r="V12" s="30">
        <f>(SUM($F3:V3)/SUM($F4:V4))/V13-1</f>
        <v>6.3784391982590893E-3</v>
      </c>
      <c r="W12" s="30">
        <f>(SUM($F3:W3)/SUM($F4:W4))/W13-1</f>
        <v>7.6739401448757683E-3</v>
      </c>
      <c r="X12" s="30">
        <f>(SUM($F3:X3)/SUM($F4:X4))/X13-1</f>
        <v>8.8128101668791814E-3</v>
      </c>
      <c r="Y12" s="30">
        <f>(SUM($F3:Y3)/SUM($F4:Y4))/Y13-1</f>
        <v>9.8381699732430494E-3</v>
      </c>
      <c r="Z12" s="30">
        <f>(SUM($F3:Z3)/SUM($F4:Z4))/Z13-1</f>
        <v>1.0864905070296027E-2</v>
      </c>
      <c r="AA12" s="30">
        <f>(SUM($F3:AA3)/SUM($F4:AA4))/AA13-1</f>
        <v>1.0864905070296027E-2</v>
      </c>
      <c r="AB12" s="30">
        <f>(SUM($F3:AB3)/SUM($F4:AB4))/AB13-1</f>
        <v>1.0864905070296027E-2</v>
      </c>
      <c r="AC12" s="30">
        <f>(SUM($F3:AC3)/SUM($F4:AC4))/AC13-1</f>
        <v>1.0864905070296027E-2</v>
      </c>
      <c r="AD12" s="30">
        <f>(SUM($F3:AD3)/SUM($F4:AD4))/AD13-1</f>
        <v>1.0864905070296027E-2</v>
      </c>
      <c r="AE12" s="30">
        <f>(SUM($F3:AE3)/SUM($F4:AE4))/AE13-1</f>
        <v>1.0864905070296027E-2</v>
      </c>
      <c r="AF12" s="30">
        <f>(SUM($F3:AF3)/SUM($F4:AF4))/AF13-1</f>
        <v>1.0864905070296027E-2</v>
      </c>
      <c r="AG12" s="30">
        <f>(SUM($F3:AG3)/SUM($F4:AG4))/AG13-1</f>
        <v>1.0864905070296027E-2</v>
      </c>
      <c r="AH12" s="30">
        <f>(SUM($F3:AH3)/SUM($F4:AH4))/AH13-1</f>
        <v>1.0864905070296027E-2</v>
      </c>
      <c r="AI12" s="30">
        <f>(SUM($F3:AI3)/SUM($F4:AI4))/AI13-1</f>
        <v>1.0864905070296027E-2</v>
      </c>
      <c r="AJ12" s="30">
        <f>(SUM($F3:AJ3)/SUM($F4:AJ4))/AJ13-1</f>
        <v>1.0864905070296027E-2</v>
      </c>
      <c r="AK12" s="30">
        <f>(SUM($F3:AK3)/SUM($F4:AK4))/AK13-1</f>
        <v>1.0864905070296027E-2</v>
      </c>
      <c r="AL12" s="30">
        <f>(SUM($F3:AL3)/SUM($F4:AL4))/AL13-1</f>
        <v>1.0864905070296027E-2</v>
      </c>
      <c r="AM12" s="30">
        <f>(SUM($F3:AM3)/SUM($F4:AM4))/AM13-1</f>
        <v>1.0864905070296027E-2</v>
      </c>
      <c r="AN12" s="30">
        <f>(SUM($F3:AN3)/SUM($F4:AN4))/AN13-1</f>
        <v>1.0864905070296027E-2</v>
      </c>
      <c r="AO12" s="30">
        <f>(SUM($F3:AO3)/SUM($F4:AO4))/AO13-1</f>
        <v>1.0864905070296027E-2</v>
      </c>
      <c r="AP12" s="30">
        <f>(SUM($F3:AP3)/SUM($F4:AP4))/AP13-1</f>
        <v>1.0864905070296027E-2</v>
      </c>
      <c r="AQ12" s="30">
        <f>(SUM($F3:AQ3)/SUM($F4:AQ4))/AQ13-1</f>
        <v>1.0864905070296027E-2</v>
      </c>
      <c r="AR12" s="30">
        <f>(SUM($F3:AR3)/SUM($F4:AR4))/AR13-1</f>
        <v>1.0864905070296027E-2</v>
      </c>
      <c r="AS12" s="30">
        <f>(SUM($F3:AS3)/SUM($F4:AS4))/AS13-1</f>
        <v>1.0864905070296027E-2</v>
      </c>
      <c r="AT12" s="30">
        <f>(SUM($F3:AT3)/SUM($F4:AT4))/AT13-1</f>
        <v>1.0864905070296027E-2</v>
      </c>
      <c r="AU12" s="30">
        <f>(SUM($F3:AU3)/SUM($F4:AU4))/AU13-1</f>
        <v>1.0864905070296027E-2</v>
      </c>
      <c r="AV12" s="30">
        <f>(SUM($F3:AV3)/SUM($F4:AV4))/AV13-1</f>
        <v>1.0864905070296027E-2</v>
      </c>
      <c r="AW12" s="30">
        <f>(SUM($F3:AW3)/SUM($F4:AW4))/AW13-1</f>
        <v>1.0864905070296027E-2</v>
      </c>
      <c r="AX12" s="30">
        <f>(SUM($F3:AX3)/SUM($F4:AX4))/AX13-1</f>
        <v>1.0864905070296027E-2</v>
      </c>
      <c r="AY12" s="30">
        <f>(SUM($F3:AY3)/SUM($F4:AY4))/AY13-1</f>
        <v>1.0864905070296027E-2</v>
      </c>
      <c r="AZ12" s="30">
        <f>(SUM($F3:AZ3)/SUM($F4:AZ4))/AZ13-1</f>
        <v>1.0864905070296027E-2</v>
      </c>
      <c r="BA12" s="30">
        <f>(SUM($F3:BA3)/SUM($F4:BA4))/BA13-1</f>
        <v>1.0864905070296027E-2</v>
      </c>
      <c r="BB12" s="30">
        <f>(SUM($F3:BB3)/SUM($F4:BB4))/BB13-1</f>
        <v>1.0864905070296027E-2</v>
      </c>
      <c r="BC12" s="30">
        <f>(SUM($F3:BC3)/SUM($F4:BC4))/BC13-1</f>
        <v>1.0864905070296027E-2</v>
      </c>
      <c r="BD12" s="30">
        <f>(SUM($F3:BD3)/SUM($F4:BD4))/BD13-1</f>
        <v>1.0864905070296027E-2</v>
      </c>
      <c r="BE12" s="30">
        <f>(SUM($F3:BE3)/SUM($F4:BE4))/BE13-1</f>
        <v>1.0864905070296027E-2</v>
      </c>
    </row>
    <row r="13" spans="1:57" s="46" customFormat="1" ht="14.45" x14ac:dyDescent="0.35">
      <c r="A13" s="46" t="s">
        <v>47</v>
      </c>
      <c r="B13" s="47">
        <v>6.3</v>
      </c>
      <c r="C13" s="47">
        <f>B13</f>
        <v>6.3</v>
      </c>
      <c r="D13" s="47">
        <f>C13</f>
        <v>6.3</v>
      </c>
      <c r="E13" s="48">
        <f>D13</f>
        <v>6.3</v>
      </c>
      <c r="F13" s="49">
        <f>AVERAGE(F11:Q11)</f>
        <v>6.2456469002415327</v>
      </c>
      <c r="G13" s="47">
        <f>F13</f>
        <v>6.2456469002415327</v>
      </c>
      <c r="H13" s="47">
        <f t="shared" ref="H13:BE13" si="4">G13</f>
        <v>6.2456469002415327</v>
      </c>
      <c r="I13" s="50">
        <f t="shared" si="4"/>
        <v>6.2456469002415327</v>
      </c>
      <c r="J13" s="49">
        <f t="shared" si="4"/>
        <v>6.2456469002415327</v>
      </c>
      <c r="K13" s="47">
        <f t="shared" si="4"/>
        <v>6.2456469002415327</v>
      </c>
      <c r="L13" s="47">
        <f t="shared" si="4"/>
        <v>6.2456469002415327</v>
      </c>
      <c r="M13" s="50">
        <f t="shared" si="4"/>
        <v>6.2456469002415327</v>
      </c>
      <c r="N13" s="49">
        <f t="shared" si="4"/>
        <v>6.2456469002415327</v>
      </c>
      <c r="O13" s="47">
        <f t="shared" si="4"/>
        <v>6.2456469002415327</v>
      </c>
      <c r="P13" s="47">
        <f t="shared" si="4"/>
        <v>6.2456469002415327</v>
      </c>
      <c r="Q13" s="50">
        <f t="shared" si="4"/>
        <v>6.2456469002415327</v>
      </c>
      <c r="R13" s="49">
        <f t="shared" si="4"/>
        <v>6.2456469002415327</v>
      </c>
      <c r="S13" s="47">
        <f t="shared" si="4"/>
        <v>6.2456469002415327</v>
      </c>
      <c r="T13" s="47">
        <f t="shared" si="4"/>
        <v>6.2456469002415327</v>
      </c>
      <c r="U13" s="47">
        <f t="shared" si="4"/>
        <v>6.2456469002415327</v>
      </c>
      <c r="V13" s="50">
        <f t="shared" si="4"/>
        <v>6.2456469002415327</v>
      </c>
      <c r="W13" s="49">
        <f t="shared" si="4"/>
        <v>6.2456469002415327</v>
      </c>
      <c r="X13" s="47">
        <f t="shared" si="4"/>
        <v>6.2456469002415327</v>
      </c>
      <c r="Y13" s="47">
        <f t="shared" si="4"/>
        <v>6.2456469002415327</v>
      </c>
      <c r="Z13" s="50">
        <f t="shared" si="4"/>
        <v>6.2456469002415327</v>
      </c>
      <c r="AA13" s="49">
        <f t="shared" si="4"/>
        <v>6.2456469002415327</v>
      </c>
      <c r="AB13" s="47">
        <f t="shared" si="4"/>
        <v>6.2456469002415327</v>
      </c>
      <c r="AC13" s="47">
        <f t="shared" si="4"/>
        <v>6.2456469002415327</v>
      </c>
      <c r="AD13" s="50">
        <f t="shared" si="4"/>
        <v>6.2456469002415327</v>
      </c>
      <c r="AE13" s="49">
        <f t="shared" si="4"/>
        <v>6.2456469002415327</v>
      </c>
      <c r="AF13" s="47">
        <f t="shared" si="4"/>
        <v>6.2456469002415327</v>
      </c>
      <c r="AG13" s="47">
        <f t="shared" si="4"/>
        <v>6.2456469002415327</v>
      </c>
      <c r="AH13" s="47">
        <f t="shared" si="4"/>
        <v>6.2456469002415327</v>
      </c>
      <c r="AI13" s="50">
        <f t="shared" si="4"/>
        <v>6.2456469002415327</v>
      </c>
      <c r="AJ13" s="49">
        <f t="shared" si="4"/>
        <v>6.2456469002415327</v>
      </c>
      <c r="AK13" s="47">
        <f t="shared" si="4"/>
        <v>6.2456469002415327</v>
      </c>
      <c r="AL13" s="47">
        <f t="shared" si="4"/>
        <v>6.2456469002415327</v>
      </c>
      <c r="AM13" s="50">
        <f t="shared" si="4"/>
        <v>6.2456469002415327</v>
      </c>
      <c r="AN13" s="49">
        <f t="shared" si="4"/>
        <v>6.2456469002415327</v>
      </c>
      <c r="AO13" s="47">
        <f t="shared" si="4"/>
        <v>6.2456469002415327</v>
      </c>
      <c r="AP13" s="47">
        <f t="shared" si="4"/>
        <v>6.2456469002415327</v>
      </c>
      <c r="AQ13" s="47">
        <f t="shared" si="4"/>
        <v>6.2456469002415327</v>
      </c>
      <c r="AR13" s="50">
        <f t="shared" si="4"/>
        <v>6.2456469002415327</v>
      </c>
      <c r="AS13" s="49">
        <f t="shared" si="4"/>
        <v>6.2456469002415327</v>
      </c>
      <c r="AT13" s="47">
        <f t="shared" si="4"/>
        <v>6.2456469002415327</v>
      </c>
      <c r="AU13" s="47">
        <f t="shared" si="4"/>
        <v>6.2456469002415327</v>
      </c>
      <c r="AV13" s="50">
        <f t="shared" si="4"/>
        <v>6.2456469002415327</v>
      </c>
      <c r="AW13" s="49">
        <f t="shared" si="4"/>
        <v>6.2456469002415327</v>
      </c>
      <c r="AX13" s="47">
        <f t="shared" si="4"/>
        <v>6.2456469002415327</v>
      </c>
      <c r="AY13" s="47">
        <f t="shared" si="4"/>
        <v>6.2456469002415327</v>
      </c>
      <c r="AZ13" s="50">
        <f t="shared" si="4"/>
        <v>6.2456469002415327</v>
      </c>
      <c r="BA13" s="49">
        <f t="shared" si="4"/>
        <v>6.2456469002415327</v>
      </c>
      <c r="BB13" s="47">
        <f t="shared" si="4"/>
        <v>6.2456469002415327</v>
      </c>
      <c r="BC13" s="47">
        <f t="shared" si="4"/>
        <v>6.2456469002415327</v>
      </c>
      <c r="BD13" s="47">
        <f t="shared" si="4"/>
        <v>6.2456469002415327</v>
      </c>
      <c r="BE13" s="50">
        <f t="shared" si="4"/>
        <v>6.2456469002415327</v>
      </c>
    </row>
    <row r="14" spans="1:57" thickBot="1" x14ac:dyDescent="0.4">
      <c r="A14" t="s">
        <v>105</v>
      </c>
      <c r="B14" s="29">
        <f>B11/B13-1</f>
        <v>3.2250011543015766E-3</v>
      </c>
      <c r="C14" s="29">
        <f t="shared" ref="C14:E14" si="5">C11/C13-1</f>
        <v>-8.9689122665048693E-3</v>
      </c>
      <c r="D14" s="29">
        <f t="shared" si="5"/>
        <v>-8.2773061131014014E-3</v>
      </c>
      <c r="E14" s="34">
        <f t="shared" si="5"/>
        <v>-1.4490260174724323E-2</v>
      </c>
      <c r="F14" s="39">
        <f>F11/F13-1</f>
        <v>-7.0642255202498783E-3</v>
      </c>
      <c r="G14" s="40">
        <f t="shared" ref="G14:BE14" si="6">G11/G13-1</f>
        <v>-7.0642255202498783E-3</v>
      </c>
      <c r="H14" s="40">
        <f t="shared" si="6"/>
        <v>-7.0642255202498783E-3</v>
      </c>
      <c r="I14" s="41">
        <f t="shared" si="6"/>
        <v>-7.0642255202498783E-3</v>
      </c>
      <c r="J14" s="39">
        <f t="shared" si="6"/>
        <v>1.5054112023573651E-3</v>
      </c>
      <c r="K14" s="40">
        <f t="shared" si="6"/>
        <v>1.5054112023573651E-3</v>
      </c>
      <c r="L14" s="40">
        <f t="shared" si="6"/>
        <v>1.5054112023573651E-3</v>
      </c>
      <c r="M14" s="41">
        <f t="shared" si="6"/>
        <v>1.5054112023573651E-3</v>
      </c>
      <c r="N14" s="39">
        <f t="shared" si="6"/>
        <v>5.5588143178924021E-3</v>
      </c>
      <c r="O14" s="40">
        <f t="shared" si="6"/>
        <v>5.5588143178924021E-3</v>
      </c>
      <c r="P14" s="40">
        <f t="shared" si="6"/>
        <v>5.5588143178924021E-3</v>
      </c>
      <c r="Q14" s="41">
        <f t="shared" si="6"/>
        <v>5.5588143178924021E-3</v>
      </c>
      <c r="R14" s="39">
        <f t="shared" si="6"/>
        <v>1.2559249064265643E-2</v>
      </c>
      <c r="S14" s="40">
        <f t="shared" si="6"/>
        <v>1.2559249064265643E-2</v>
      </c>
      <c r="T14" s="40">
        <f t="shared" si="6"/>
        <v>1.2559249064265643E-2</v>
      </c>
      <c r="U14" s="40">
        <f t="shared" si="6"/>
        <v>1.2559249064265643E-2</v>
      </c>
      <c r="V14" s="41">
        <f t="shared" si="6"/>
        <v>1.2559249064265643E-2</v>
      </c>
      <c r="W14" s="39">
        <f t="shared" si="6"/>
        <v>1.7999006166875775E-2</v>
      </c>
      <c r="X14" s="40">
        <f t="shared" si="6"/>
        <v>1.9038841719650978E-2</v>
      </c>
      <c r="Y14" s="40">
        <f t="shared" si="6"/>
        <v>2.0080803725499363E-2</v>
      </c>
      <c r="Z14" s="41">
        <f t="shared" si="6"/>
        <v>2.2171133241330132E-2</v>
      </c>
      <c r="AA14" s="39" t="e">
        <f t="shared" si="6"/>
        <v>#DIV/0!</v>
      </c>
      <c r="AB14" s="40" t="e">
        <f t="shared" si="6"/>
        <v>#DIV/0!</v>
      </c>
      <c r="AC14" s="40" t="e">
        <f t="shared" si="6"/>
        <v>#DIV/0!</v>
      </c>
      <c r="AD14" s="41" t="e">
        <f t="shared" si="6"/>
        <v>#DIV/0!</v>
      </c>
      <c r="AE14" s="39" t="e">
        <f t="shared" si="6"/>
        <v>#DIV/0!</v>
      </c>
      <c r="AF14" s="40" t="e">
        <f t="shared" si="6"/>
        <v>#DIV/0!</v>
      </c>
      <c r="AG14" s="40" t="e">
        <f t="shared" si="6"/>
        <v>#DIV/0!</v>
      </c>
      <c r="AH14" s="40" t="e">
        <f t="shared" si="6"/>
        <v>#DIV/0!</v>
      </c>
      <c r="AI14" s="41" t="e">
        <f t="shared" si="6"/>
        <v>#DIV/0!</v>
      </c>
      <c r="AJ14" s="39" t="e">
        <f t="shared" si="6"/>
        <v>#DIV/0!</v>
      </c>
      <c r="AK14" s="40" t="e">
        <f t="shared" si="6"/>
        <v>#DIV/0!</v>
      </c>
      <c r="AL14" s="40" t="e">
        <f t="shared" si="6"/>
        <v>#DIV/0!</v>
      </c>
      <c r="AM14" s="41" t="e">
        <f t="shared" si="6"/>
        <v>#DIV/0!</v>
      </c>
      <c r="AN14" s="39" t="e">
        <f t="shared" si="6"/>
        <v>#DIV/0!</v>
      </c>
      <c r="AO14" s="40" t="e">
        <f t="shared" si="6"/>
        <v>#DIV/0!</v>
      </c>
      <c r="AP14" s="40" t="e">
        <f t="shared" si="6"/>
        <v>#DIV/0!</v>
      </c>
      <c r="AQ14" s="40" t="e">
        <f t="shared" si="6"/>
        <v>#DIV/0!</v>
      </c>
      <c r="AR14" s="41" t="e">
        <f t="shared" si="6"/>
        <v>#DIV/0!</v>
      </c>
      <c r="AS14" s="39" t="e">
        <f t="shared" si="6"/>
        <v>#DIV/0!</v>
      </c>
      <c r="AT14" s="40" t="e">
        <f t="shared" si="6"/>
        <v>#DIV/0!</v>
      </c>
      <c r="AU14" s="40" t="e">
        <f t="shared" si="6"/>
        <v>#DIV/0!</v>
      </c>
      <c r="AV14" s="41" t="e">
        <f t="shared" si="6"/>
        <v>#DIV/0!</v>
      </c>
      <c r="AW14" s="39" t="e">
        <f t="shared" si="6"/>
        <v>#DIV/0!</v>
      </c>
      <c r="AX14" s="40" t="e">
        <f t="shared" si="6"/>
        <v>#DIV/0!</v>
      </c>
      <c r="AY14" s="40" t="e">
        <f t="shared" si="6"/>
        <v>#DIV/0!</v>
      </c>
      <c r="AZ14" s="41" t="e">
        <f t="shared" si="6"/>
        <v>#DIV/0!</v>
      </c>
      <c r="BA14" s="39" t="e">
        <f t="shared" si="6"/>
        <v>#DIV/0!</v>
      </c>
      <c r="BB14" s="40" t="e">
        <f t="shared" si="6"/>
        <v>#DIV/0!</v>
      </c>
      <c r="BC14" s="40" t="e">
        <f t="shared" si="6"/>
        <v>#DIV/0!</v>
      </c>
      <c r="BD14" s="40" t="e">
        <f t="shared" si="6"/>
        <v>#DIV/0!</v>
      </c>
      <c r="BE14" s="41" t="e">
        <f t="shared" si="6"/>
        <v>#DIV/0!</v>
      </c>
    </row>
    <row r="17" spans="1:17" ht="14.45" x14ac:dyDescent="0.35">
      <c r="B17" s="28" t="s">
        <v>48</v>
      </c>
      <c r="C17" s="28" t="s">
        <v>49</v>
      </c>
      <c r="D17" s="28" t="s">
        <v>50</v>
      </c>
      <c r="E17" s="28" t="s">
        <v>51</v>
      </c>
      <c r="F17" s="31">
        <v>42385</v>
      </c>
      <c r="G17" s="31">
        <v>42416</v>
      </c>
      <c r="H17" s="31">
        <v>42445</v>
      </c>
      <c r="I17" s="31">
        <v>42476</v>
      </c>
      <c r="J17" s="31">
        <v>42506</v>
      </c>
      <c r="K17" s="31">
        <v>42537</v>
      </c>
      <c r="L17" s="31">
        <v>42567</v>
      </c>
      <c r="M17" s="31">
        <v>42598</v>
      </c>
      <c r="N17" s="31">
        <v>42629</v>
      </c>
      <c r="O17" s="31">
        <v>42659</v>
      </c>
      <c r="P17" s="31">
        <v>42690</v>
      </c>
      <c r="Q17" s="31">
        <v>42720</v>
      </c>
    </row>
    <row r="18" spans="1:17" s="46" customFormat="1" ht="14.45" x14ac:dyDescent="0.35">
      <c r="A18" s="46" t="s">
        <v>106</v>
      </c>
      <c r="B18" s="47">
        <f>B11</f>
        <v>6.3203175072721001</v>
      </c>
      <c r="C18" s="47">
        <f t="shared" ref="C18:E18" si="7">C11</f>
        <v>6.2434958527210194</v>
      </c>
      <c r="D18" s="47">
        <f t="shared" si="7"/>
        <v>6.2478529714874611</v>
      </c>
      <c r="E18" s="47">
        <f t="shared" si="7"/>
        <v>6.2087113608992368</v>
      </c>
      <c r="F18" s="47">
        <f>SUM(F3:I3)/SUM(F4:I4)</f>
        <v>6.2015262420183772</v>
      </c>
      <c r="G18" s="47">
        <f>SUM(J3:M3)/SUM(J4:M4)</f>
        <v>6.2550491670511255</v>
      </c>
      <c r="H18" s="47">
        <f>SUM(N3:Q3)/SUM(N4:Q4)</f>
        <v>6.2803652916550954</v>
      </c>
      <c r="I18" s="47">
        <f>SUM(R3:V3)/SUM(R4:V4)</f>
        <v>6.3240875352291246</v>
      </c>
      <c r="J18" s="47">
        <f>SUM(W3:Z3)/SUM(W4:Z4)</f>
        <v>6.3694363307629001</v>
      </c>
      <c r="K18" s="47" t="e">
        <f>SUM(AA3:AD3)/SUM(AA4:AD4)</f>
        <v>#DIV/0!</v>
      </c>
      <c r="L18" s="47" t="e">
        <f>SUM(AE3:AI3)/SUM(AE4:AI4)</f>
        <v>#DIV/0!</v>
      </c>
      <c r="M18" s="47" t="e">
        <f>SUM(AJ3:AM3)/SUM(AJ4:AM5)</f>
        <v>#DIV/0!</v>
      </c>
      <c r="N18" s="47" t="e">
        <f>SUM(AN3:AR3)/SUM(AN4:AR4)</f>
        <v>#DIV/0!</v>
      </c>
      <c r="O18" s="47" t="e">
        <f>SUM(AS3:AV3)/SUM(AS4:AV4)</f>
        <v>#DIV/0!</v>
      </c>
      <c r="P18" s="47" t="e">
        <f>SUM(AW3:AZ3)/SUM(AW4:AZ4)</f>
        <v>#DIV/0!</v>
      </c>
      <c r="Q18" s="47" t="e">
        <f>SUM(BA3:BE3)/SUM(BA4:BE4)</f>
        <v>#DIV/0!</v>
      </c>
    </row>
    <row r="19" spans="1:17" s="46" customFormat="1" ht="14.45" x14ac:dyDescent="0.35">
      <c r="A19" t="s">
        <v>114</v>
      </c>
      <c r="B19" s="30">
        <f>B18/B20-1</f>
        <v>3.2250011543015766E-3</v>
      </c>
      <c r="C19" s="30">
        <f>(AVERAGE($B18:C18))/C20-1</f>
        <v>-2.8719555561016463E-3</v>
      </c>
      <c r="D19" s="30">
        <f>(AVERAGE($B18:D18))/D20-1</f>
        <v>-4.6737390751014907E-3</v>
      </c>
      <c r="E19" s="30">
        <f>(AVERAGE($B18:E18))/E20-1</f>
        <v>-7.1278693500071988E-3</v>
      </c>
      <c r="F19" s="30">
        <f>F18/F20-1</f>
        <v>-7.0642255202498783E-3</v>
      </c>
      <c r="G19" s="30">
        <f>(SUM($F3:M3)/SUM($F4:M4))/G20-1</f>
        <v>-1.2938063346848994E-3</v>
      </c>
      <c r="H19" s="30">
        <f>(SUM($F3:N3)/SUM($F4:N4))/H20-1</f>
        <v>1.1773799381686878E-4</v>
      </c>
      <c r="I19" s="30">
        <f>(SUM($F3:O3)/SUM($F4:O4))/I20-1</f>
        <v>1.0470902567227824E-3</v>
      </c>
      <c r="J19" s="30">
        <f>(SUM($F3:P3)/SUM($F4:P4))/J20-1</f>
        <v>1.7052847421652473E-3</v>
      </c>
      <c r="K19" s="30">
        <f>(SUM($F3:Q3)/SUM($F4:Q4))/K20-1</f>
        <v>2.1958866526914367E-3</v>
      </c>
      <c r="L19" s="30">
        <f>(SUM($F3:R3)/SUM($F4:R4))/L20-1</f>
        <v>3.43126726859877E-3</v>
      </c>
      <c r="M19" s="30">
        <f>(SUM($F3:S3)/SUM($F4:S4))/M20-1</f>
        <v>4.4034874260763246E-3</v>
      </c>
      <c r="N19" s="30">
        <f>(SUM($F3:T3)/SUM($F4:T4))/N20-1</f>
        <v>5.1885406261029665E-3</v>
      </c>
      <c r="O19" s="30">
        <f>(SUM($F3:U3)/SUM($F4:U4))/O20-1</f>
        <v>5.8357297638431671E-3</v>
      </c>
      <c r="P19" s="30">
        <f>(SUM($F3:V3)/SUM($F4:V4))/P20-1</f>
        <v>6.3784391982590893E-3</v>
      </c>
      <c r="Q19" s="30">
        <f>(SUM($F3:W3)/SUM($F4:W4))/Q20-1</f>
        <v>7.6739401448757683E-3</v>
      </c>
    </row>
    <row r="20" spans="1:17" s="46" customFormat="1" ht="14.45" x14ac:dyDescent="0.35">
      <c r="A20" s="46" t="s">
        <v>47</v>
      </c>
      <c r="B20" s="47">
        <f>B13</f>
        <v>6.3</v>
      </c>
      <c r="C20" s="47">
        <f t="shared" ref="C20:E20" si="8">C13</f>
        <v>6.3</v>
      </c>
      <c r="D20" s="47">
        <f t="shared" si="8"/>
        <v>6.3</v>
      </c>
      <c r="E20" s="47">
        <f t="shared" si="8"/>
        <v>6.3</v>
      </c>
      <c r="F20" s="47">
        <f>F13</f>
        <v>6.2456469002415327</v>
      </c>
      <c r="G20" s="47">
        <f>F20</f>
        <v>6.2456469002415327</v>
      </c>
      <c r="H20" s="47">
        <f t="shared" ref="H20:Q20" si="9">G20</f>
        <v>6.2456469002415327</v>
      </c>
      <c r="I20" s="47">
        <f t="shared" si="9"/>
        <v>6.2456469002415327</v>
      </c>
      <c r="J20" s="47">
        <f t="shared" si="9"/>
        <v>6.2456469002415327</v>
      </c>
      <c r="K20" s="47">
        <f t="shared" si="9"/>
        <v>6.2456469002415327</v>
      </c>
      <c r="L20" s="47">
        <f t="shared" si="9"/>
        <v>6.2456469002415327</v>
      </c>
      <c r="M20" s="47">
        <f t="shared" si="9"/>
        <v>6.2456469002415327</v>
      </c>
      <c r="N20" s="47">
        <f t="shared" si="9"/>
        <v>6.2456469002415327</v>
      </c>
      <c r="O20" s="47">
        <f t="shared" si="9"/>
        <v>6.2456469002415327</v>
      </c>
      <c r="P20" s="47">
        <f t="shared" si="9"/>
        <v>6.2456469002415327</v>
      </c>
      <c r="Q20" s="47">
        <f t="shared" si="9"/>
        <v>6.2456469002415327</v>
      </c>
    </row>
    <row r="21" spans="1:17" ht="14.45" x14ac:dyDescent="0.35">
      <c r="A21" t="s">
        <v>105</v>
      </c>
      <c r="B21" s="29">
        <f>B18/B20-1</f>
        <v>3.2250011543015766E-3</v>
      </c>
      <c r="C21" s="29">
        <f t="shared" ref="C21:E21" si="10">C18/C20-1</f>
        <v>-8.9689122665048693E-3</v>
      </c>
      <c r="D21" s="29">
        <f t="shared" si="10"/>
        <v>-8.2773061131014014E-3</v>
      </c>
      <c r="E21" s="29">
        <f t="shared" si="10"/>
        <v>-1.4490260174724323E-2</v>
      </c>
      <c r="F21" s="30">
        <f>F18/F20-1</f>
        <v>-7.0642255202498783E-3</v>
      </c>
      <c r="G21" s="30">
        <f t="shared" ref="G21:Q21" si="11">G18/G20-1</f>
        <v>1.5054112023573651E-3</v>
      </c>
      <c r="H21" s="30">
        <f t="shared" si="11"/>
        <v>5.5588143178924021E-3</v>
      </c>
      <c r="I21" s="30">
        <f t="shared" si="11"/>
        <v>1.2559249064265643E-2</v>
      </c>
      <c r="J21" s="30">
        <f t="shared" si="11"/>
        <v>1.9820113512433846E-2</v>
      </c>
      <c r="K21" s="30" t="e">
        <f t="shared" si="11"/>
        <v>#DIV/0!</v>
      </c>
      <c r="L21" s="30" t="e">
        <f t="shared" si="11"/>
        <v>#DIV/0!</v>
      </c>
      <c r="M21" s="30" t="e">
        <f t="shared" si="11"/>
        <v>#DIV/0!</v>
      </c>
      <c r="N21" s="30" t="e">
        <f t="shared" si="11"/>
        <v>#DIV/0!</v>
      </c>
      <c r="O21" s="30" t="e">
        <f t="shared" si="11"/>
        <v>#DIV/0!</v>
      </c>
      <c r="P21" s="30" t="e">
        <f t="shared" si="11"/>
        <v>#DIV/0!</v>
      </c>
      <c r="Q21" s="30" t="e">
        <f t="shared" si="11"/>
        <v>#DIV/0!</v>
      </c>
    </row>
  </sheetData>
  <mergeCells count="26">
    <mergeCell ref="AN9:AR9"/>
    <mergeCell ref="AS9:AV9"/>
    <mergeCell ref="AW9:AZ9"/>
    <mergeCell ref="BA9:BE9"/>
    <mergeCell ref="BA1:BE1"/>
    <mergeCell ref="AN1:AR1"/>
    <mergeCell ref="AS1:AV1"/>
    <mergeCell ref="AW1:AZ1"/>
    <mergeCell ref="B9:E9"/>
    <mergeCell ref="F9:I9"/>
    <mergeCell ref="J9:M9"/>
    <mergeCell ref="N9:Q9"/>
    <mergeCell ref="R9:V9"/>
    <mergeCell ref="W9:Z9"/>
    <mergeCell ref="AA9:AD9"/>
    <mergeCell ref="AE9:AI9"/>
    <mergeCell ref="AJ9:AM9"/>
    <mergeCell ref="AA1:AD1"/>
    <mergeCell ref="AE1:AI1"/>
    <mergeCell ref="AJ1:AM1"/>
    <mergeCell ref="W1:Z1"/>
    <mergeCell ref="B1:E1"/>
    <mergeCell ref="F1:I1"/>
    <mergeCell ref="J1:M1"/>
    <mergeCell ref="N1:Q1"/>
    <mergeCell ref="R1:V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21"/>
  <sheetViews>
    <sheetView workbookViewId="0">
      <selection sqref="A1:XFD1048576"/>
    </sheetView>
  </sheetViews>
  <sheetFormatPr defaultRowHeight="15" x14ac:dyDescent="0.25"/>
  <cols>
    <col min="1" max="1" width="33.42578125" bestFit="1" customWidth="1"/>
    <col min="2" max="3" width="11.85546875" bestFit="1" customWidth="1"/>
    <col min="4" max="4" width="11.42578125" bestFit="1" customWidth="1"/>
    <col min="5" max="5" width="11.140625" bestFit="1" customWidth="1"/>
    <col min="6" max="13" width="10.5703125" bestFit="1" customWidth="1"/>
    <col min="14" max="17" width="10.85546875" bestFit="1" customWidth="1"/>
    <col min="18" max="26" width="11.42578125" bestFit="1" customWidth="1"/>
    <col min="27" max="35" width="9.140625" bestFit="1" customWidth="1"/>
    <col min="36" max="36" width="8.85546875" bestFit="1" customWidth="1"/>
    <col min="37" max="45" width="9.140625" bestFit="1" customWidth="1"/>
    <col min="46" max="46" width="8.85546875" bestFit="1" customWidth="1"/>
    <col min="47" max="47" width="9.140625" bestFit="1" customWidth="1"/>
    <col min="48" max="57" width="7.85546875" bestFit="1" customWidth="1"/>
  </cols>
  <sheetData>
    <row r="1" spans="1:57" s="32" customFormat="1" ht="14.45" x14ac:dyDescent="0.35">
      <c r="A1" s="32" t="s">
        <v>107</v>
      </c>
      <c r="B1" s="139">
        <v>2015</v>
      </c>
      <c r="C1" s="140"/>
      <c r="D1" s="140"/>
      <c r="E1" s="140"/>
      <c r="F1" s="141">
        <v>42385</v>
      </c>
      <c r="G1" s="142"/>
      <c r="H1" s="142"/>
      <c r="I1" s="143"/>
      <c r="J1" s="141">
        <v>42416</v>
      </c>
      <c r="K1" s="142"/>
      <c r="L1" s="142"/>
      <c r="M1" s="143"/>
      <c r="N1" s="144">
        <v>42445</v>
      </c>
      <c r="O1" s="145"/>
      <c r="P1" s="145"/>
      <c r="Q1" s="146"/>
      <c r="R1" s="144">
        <v>42476</v>
      </c>
      <c r="S1" s="145"/>
      <c r="T1" s="145"/>
      <c r="U1" s="145"/>
      <c r="V1" s="146"/>
      <c r="W1" s="144">
        <v>42506</v>
      </c>
      <c r="X1" s="145"/>
      <c r="Y1" s="145"/>
      <c r="Z1" s="146"/>
      <c r="AA1" s="144">
        <v>42537</v>
      </c>
      <c r="AB1" s="145"/>
      <c r="AC1" s="145"/>
      <c r="AD1" s="146"/>
      <c r="AE1" s="144">
        <v>42567</v>
      </c>
      <c r="AF1" s="145"/>
      <c r="AG1" s="145"/>
      <c r="AH1" s="145"/>
      <c r="AI1" s="146"/>
      <c r="AJ1" s="144">
        <v>42598</v>
      </c>
      <c r="AK1" s="145"/>
      <c r="AL1" s="145"/>
      <c r="AM1" s="146"/>
      <c r="AN1" s="144">
        <v>42629</v>
      </c>
      <c r="AO1" s="145"/>
      <c r="AP1" s="145"/>
      <c r="AQ1" s="145"/>
      <c r="AR1" s="146"/>
      <c r="AS1" s="144">
        <v>42659</v>
      </c>
      <c r="AT1" s="145"/>
      <c r="AU1" s="145"/>
      <c r="AV1" s="146"/>
      <c r="AW1" s="144">
        <v>42690</v>
      </c>
      <c r="AX1" s="145"/>
      <c r="AY1" s="145"/>
      <c r="AZ1" s="146"/>
      <c r="BA1" s="144">
        <v>42720</v>
      </c>
      <c r="BB1" s="145"/>
      <c r="BC1" s="145"/>
      <c r="BD1" s="145"/>
      <c r="BE1" s="146"/>
    </row>
    <row r="2" spans="1:57" ht="14.45" x14ac:dyDescent="0.35">
      <c r="B2" s="28" t="s">
        <v>48</v>
      </c>
      <c r="C2" s="28" t="s">
        <v>49</v>
      </c>
      <c r="D2" s="28" t="s">
        <v>50</v>
      </c>
      <c r="E2" s="33" t="s">
        <v>51</v>
      </c>
      <c r="F2" s="35" t="s">
        <v>52</v>
      </c>
      <c r="G2" s="28" t="s">
        <v>53</v>
      </c>
      <c r="H2" s="28" t="s">
        <v>54</v>
      </c>
      <c r="I2" s="36" t="s">
        <v>55</v>
      </c>
      <c r="J2" s="35" t="s">
        <v>56</v>
      </c>
      <c r="K2" s="28" t="s">
        <v>57</v>
      </c>
      <c r="L2" s="28" t="s">
        <v>58</v>
      </c>
      <c r="M2" s="36" t="s">
        <v>59</v>
      </c>
      <c r="N2" s="35" t="s">
        <v>60</v>
      </c>
      <c r="O2" s="28" t="s">
        <v>61</v>
      </c>
      <c r="P2" s="28" t="s">
        <v>62</v>
      </c>
      <c r="Q2" s="36" t="s">
        <v>63</v>
      </c>
      <c r="R2" s="35" t="s">
        <v>64</v>
      </c>
      <c r="S2" s="28" t="s">
        <v>65</v>
      </c>
      <c r="T2" s="28" t="s">
        <v>66</v>
      </c>
      <c r="U2" s="28" t="s">
        <v>67</v>
      </c>
      <c r="V2" s="36" t="s">
        <v>68</v>
      </c>
      <c r="W2" s="35" t="s">
        <v>69</v>
      </c>
      <c r="X2" s="28" t="s">
        <v>70</v>
      </c>
      <c r="Y2" s="28" t="s">
        <v>71</v>
      </c>
      <c r="Z2" s="36" t="s">
        <v>72</v>
      </c>
      <c r="AA2" s="35" t="s">
        <v>73</v>
      </c>
      <c r="AB2" s="28" t="s">
        <v>74</v>
      </c>
      <c r="AC2" s="28" t="s">
        <v>75</v>
      </c>
      <c r="AD2" s="36" t="s">
        <v>76</v>
      </c>
      <c r="AE2" s="35" t="s">
        <v>77</v>
      </c>
      <c r="AF2" s="28" t="s">
        <v>78</v>
      </c>
      <c r="AG2" s="28" t="s">
        <v>79</v>
      </c>
      <c r="AH2" s="28" t="s">
        <v>80</v>
      </c>
      <c r="AI2" s="36" t="s">
        <v>81</v>
      </c>
      <c r="AJ2" s="35" t="s">
        <v>82</v>
      </c>
      <c r="AK2" s="28" t="s">
        <v>83</v>
      </c>
      <c r="AL2" s="28" t="s">
        <v>84</v>
      </c>
      <c r="AM2" s="36" t="s">
        <v>85</v>
      </c>
      <c r="AN2" s="35" t="s">
        <v>86</v>
      </c>
      <c r="AO2" s="28" t="s">
        <v>87</v>
      </c>
      <c r="AP2" s="28" t="s">
        <v>88</v>
      </c>
      <c r="AQ2" s="28" t="s">
        <v>89</v>
      </c>
      <c r="AR2" s="36" t="s">
        <v>90</v>
      </c>
      <c r="AS2" s="35" t="s">
        <v>91</v>
      </c>
      <c r="AT2" s="28" t="s">
        <v>92</v>
      </c>
      <c r="AU2" s="28" t="s">
        <v>93</v>
      </c>
      <c r="AV2" s="36" t="s">
        <v>94</v>
      </c>
      <c r="AW2" s="35" t="s">
        <v>95</v>
      </c>
      <c r="AX2" s="28" t="s">
        <v>96</v>
      </c>
      <c r="AY2" s="28" t="s">
        <v>97</v>
      </c>
      <c r="AZ2" s="36" t="s">
        <v>98</v>
      </c>
      <c r="BA2" s="35" t="s">
        <v>99</v>
      </c>
      <c r="BB2" s="28" t="s">
        <v>100</v>
      </c>
      <c r="BC2" s="28" t="s">
        <v>101</v>
      </c>
      <c r="BD2" s="28" t="s">
        <v>102</v>
      </c>
      <c r="BE2" s="36" t="s">
        <v>103</v>
      </c>
    </row>
    <row r="3" spans="1:57" s="46" customFormat="1" ht="14.45" x14ac:dyDescent="0.35">
      <c r="A3" s="46" t="s">
        <v>109</v>
      </c>
      <c r="B3" s="61">
        <f>'PC% - AAG'!B3*15</f>
        <v>384585</v>
      </c>
      <c r="C3" s="61">
        <f>'PC% - AAG'!C3*15</f>
        <v>385770</v>
      </c>
      <c r="D3" s="61">
        <f>'PC% - AAG'!D3*15</f>
        <v>400125</v>
      </c>
      <c r="E3" s="61">
        <f>'PC% - AAG'!E3*15</f>
        <v>371181.6</v>
      </c>
      <c r="F3" s="61">
        <f>'PC% - AAG'!F3*15</f>
        <v>29865</v>
      </c>
      <c r="G3" s="61">
        <f>'PC% - AAG'!G3*15</f>
        <v>29865</v>
      </c>
      <c r="H3" s="61">
        <f>'PC% - AAG'!H3*15</f>
        <v>29865</v>
      </c>
      <c r="I3" s="61">
        <f>'PC% - AAG'!I3*15</f>
        <v>29865</v>
      </c>
      <c r="J3" s="61">
        <f>'PC% - AAG'!J3*15</f>
        <v>62096.25</v>
      </c>
      <c r="K3" s="61">
        <f>'PC% - AAG'!K3*15</f>
        <v>62096.25</v>
      </c>
      <c r="L3" s="61">
        <f>'PC% - AAG'!L3*15</f>
        <v>62096.25</v>
      </c>
      <c r="M3" s="61">
        <f>'PC% - AAG'!M3*15</f>
        <v>62096.25</v>
      </c>
      <c r="N3" s="61">
        <f>'PC% - AAG'!N3*15</f>
        <v>96082.5</v>
      </c>
      <c r="O3" s="61">
        <f>'PC% - AAG'!O3*15</f>
        <v>96082.5</v>
      </c>
      <c r="P3" s="61">
        <f>'PC% - AAG'!P3*15</f>
        <v>96082.5</v>
      </c>
      <c r="Q3" s="61">
        <f>'PC% - AAG'!Q3*15</f>
        <v>96082.5</v>
      </c>
      <c r="R3" s="61">
        <f>'PC% - AAG'!R3*15</f>
        <v>102852</v>
      </c>
      <c r="S3" s="61">
        <f>'PC% - AAG'!S3*15</f>
        <v>102852</v>
      </c>
      <c r="T3" s="61">
        <f>'PC% - AAG'!T3*15</f>
        <v>102852</v>
      </c>
      <c r="U3" s="61">
        <f>'PC% - AAG'!U3*15</f>
        <v>102852</v>
      </c>
      <c r="V3" s="61">
        <f>'PC% - AAG'!V3*15</f>
        <v>102852</v>
      </c>
      <c r="W3" s="61">
        <f>'PC% - AAG'!W3*15</f>
        <v>160736.25</v>
      </c>
      <c r="X3" s="61">
        <f>'PC% - AAG'!X3*15</f>
        <v>160736.25</v>
      </c>
      <c r="Y3" s="61">
        <f>'PC% - AAG'!Y3*15</f>
        <v>160736.25</v>
      </c>
      <c r="Z3" s="61">
        <f>'PC% - AAG'!Z3*15</f>
        <v>160736.25</v>
      </c>
      <c r="AA3" s="49"/>
      <c r="AB3" s="49"/>
      <c r="AC3" s="49"/>
      <c r="AD3" s="49"/>
      <c r="AE3" s="49"/>
      <c r="AF3" s="47"/>
      <c r="AG3" s="47"/>
      <c r="AH3" s="47"/>
      <c r="AI3" s="50"/>
      <c r="AJ3" s="49"/>
      <c r="AK3" s="47"/>
      <c r="AL3" s="47"/>
      <c r="AM3" s="50"/>
      <c r="AN3" s="49"/>
      <c r="AO3" s="47"/>
      <c r="AP3" s="47"/>
      <c r="AQ3" s="47"/>
      <c r="AR3" s="50"/>
      <c r="AS3" s="49"/>
      <c r="AT3" s="47"/>
      <c r="AU3" s="47"/>
      <c r="AV3" s="50"/>
      <c r="AW3" s="49"/>
      <c r="AX3" s="47"/>
      <c r="AY3" s="47"/>
      <c r="AZ3" s="50"/>
      <c r="BA3" s="49"/>
      <c r="BB3" s="47"/>
      <c r="BC3" s="47"/>
      <c r="BD3" s="47"/>
      <c r="BE3" s="50"/>
    </row>
    <row r="4" spans="1:57" s="42" customFormat="1" thickBot="1" x14ac:dyDescent="0.4">
      <c r="A4" s="42" t="s">
        <v>110</v>
      </c>
      <c r="B4" s="43">
        <v>60849</v>
      </c>
      <c r="C4" s="43">
        <v>61787.5</v>
      </c>
      <c r="D4" s="43">
        <v>64042</v>
      </c>
      <c r="E4" s="51">
        <v>59784</v>
      </c>
      <c r="F4" s="58">
        <v>4815.75</v>
      </c>
      <c r="G4" s="59">
        <v>4815.75</v>
      </c>
      <c r="H4" s="59">
        <v>4815.75</v>
      </c>
      <c r="I4" s="60">
        <v>4815.75</v>
      </c>
      <c r="J4" s="58">
        <v>9927.3799999999992</v>
      </c>
      <c r="K4" s="59">
        <v>9927.3799999999992</v>
      </c>
      <c r="L4" s="59">
        <v>9927.3799999999992</v>
      </c>
      <c r="M4" s="60">
        <v>9927.3799999999992</v>
      </c>
      <c r="N4" s="58">
        <f>15375.75*0.995</f>
        <v>15298.87125</v>
      </c>
      <c r="O4" s="58">
        <f t="shared" ref="O4:Q4" si="0">15375.75*0.995</f>
        <v>15298.87125</v>
      </c>
      <c r="P4" s="58">
        <f t="shared" si="0"/>
        <v>15298.87125</v>
      </c>
      <c r="Q4" s="58">
        <f t="shared" si="0"/>
        <v>15298.87125</v>
      </c>
      <c r="R4" s="58">
        <f>16511.2*0.985</f>
        <v>16263.532000000001</v>
      </c>
      <c r="S4" s="58">
        <f t="shared" ref="S4:V4" si="1">16511.2*0.985</f>
        <v>16263.532000000001</v>
      </c>
      <c r="T4" s="58">
        <f t="shared" si="1"/>
        <v>16263.532000000001</v>
      </c>
      <c r="U4" s="58">
        <f t="shared" si="1"/>
        <v>16263.532000000001</v>
      </c>
      <c r="V4" s="58">
        <f t="shared" si="1"/>
        <v>16263.532000000001</v>
      </c>
      <c r="W4" s="58">
        <f>25796.63*0.98</f>
        <v>25280.697400000001</v>
      </c>
      <c r="X4" s="58">
        <f>25796.63*0.979</f>
        <v>25254.90077</v>
      </c>
      <c r="Y4" s="58">
        <f>25796.63*0.978</f>
        <v>25229.104139999999</v>
      </c>
      <c r="Z4" s="58">
        <f>25796.63*0.976</f>
        <v>25177.510880000002</v>
      </c>
      <c r="AA4" s="58"/>
      <c r="AB4" s="59"/>
      <c r="AC4" s="59"/>
      <c r="AD4" s="60"/>
      <c r="AE4" s="44"/>
      <c r="AF4" s="43"/>
      <c r="AG4" s="43"/>
      <c r="AH4" s="43"/>
      <c r="AI4" s="45"/>
      <c r="AJ4" s="44"/>
      <c r="AK4" s="43"/>
      <c r="AL4" s="43"/>
      <c r="AM4" s="45"/>
      <c r="AN4" s="44"/>
      <c r="AO4" s="43"/>
      <c r="AP4" s="43"/>
      <c r="AQ4" s="43"/>
      <c r="AR4" s="45"/>
      <c r="AS4" s="44"/>
      <c r="AT4" s="43"/>
      <c r="AU4" s="43"/>
      <c r="AV4" s="45"/>
      <c r="AW4" s="44"/>
      <c r="AX4" s="43"/>
      <c r="AY4" s="43"/>
      <c r="AZ4" s="45"/>
      <c r="BA4" s="44"/>
      <c r="BB4" s="43"/>
      <c r="BC4" s="43"/>
      <c r="BD4" s="43"/>
      <c r="BE4" s="45"/>
    </row>
    <row r="6" spans="1:57" ht="14.45" x14ac:dyDescent="0.35">
      <c r="A6" t="s">
        <v>115</v>
      </c>
    </row>
    <row r="7" spans="1:57" ht="14.45" x14ac:dyDescent="0.35">
      <c r="A7" t="s">
        <v>116</v>
      </c>
    </row>
    <row r="8" spans="1:57" thickBot="1" x14ac:dyDescent="0.4"/>
    <row r="9" spans="1:57" s="32" customFormat="1" ht="14.45" x14ac:dyDescent="0.35">
      <c r="A9" s="32" t="s">
        <v>107</v>
      </c>
      <c r="B9" s="139">
        <v>2015</v>
      </c>
      <c r="C9" s="140"/>
      <c r="D9" s="140"/>
      <c r="E9" s="140"/>
      <c r="F9" s="141">
        <v>42385</v>
      </c>
      <c r="G9" s="142"/>
      <c r="H9" s="142"/>
      <c r="I9" s="143"/>
      <c r="J9" s="141">
        <v>42416</v>
      </c>
      <c r="K9" s="142"/>
      <c r="L9" s="142"/>
      <c r="M9" s="143"/>
      <c r="N9" s="144">
        <v>42445</v>
      </c>
      <c r="O9" s="145"/>
      <c r="P9" s="145"/>
      <c r="Q9" s="146"/>
      <c r="R9" s="144">
        <v>42476</v>
      </c>
      <c r="S9" s="145"/>
      <c r="T9" s="145"/>
      <c r="U9" s="145"/>
      <c r="V9" s="146"/>
      <c r="W9" s="144">
        <v>42506</v>
      </c>
      <c r="X9" s="145"/>
      <c r="Y9" s="145"/>
      <c r="Z9" s="146"/>
      <c r="AA9" s="144">
        <v>42537</v>
      </c>
      <c r="AB9" s="145"/>
      <c r="AC9" s="145"/>
      <c r="AD9" s="146"/>
      <c r="AE9" s="144">
        <v>42567</v>
      </c>
      <c r="AF9" s="145"/>
      <c r="AG9" s="145"/>
      <c r="AH9" s="145"/>
      <c r="AI9" s="146"/>
      <c r="AJ9" s="144">
        <v>42598</v>
      </c>
      <c r="AK9" s="145"/>
      <c r="AL9" s="145"/>
      <c r="AM9" s="146"/>
      <c r="AN9" s="144">
        <v>42629</v>
      </c>
      <c r="AO9" s="145"/>
      <c r="AP9" s="145"/>
      <c r="AQ9" s="145"/>
      <c r="AR9" s="146"/>
      <c r="AS9" s="144">
        <v>42659</v>
      </c>
      <c r="AT9" s="145"/>
      <c r="AU9" s="145"/>
      <c r="AV9" s="146"/>
      <c r="AW9" s="144">
        <v>42690</v>
      </c>
      <c r="AX9" s="145"/>
      <c r="AY9" s="145"/>
      <c r="AZ9" s="146"/>
      <c r="BA9" s="144">
        <v>42720</v>
      </c>
      <c r="BB9" s="145"/>
      <c r="BC9" s="145"/>
      <c r="BD9" s="145"/>
      <c r="BE9" s="146"/>
    </row>
    <row r="10" spans="1:57" ht="14.45" x14ac:dyDescent="0.35">
      <c r="B10" s="28" t="s">
        <v>48</v>
      </c>
      <c r="C10" s="28" t="s">
        <v>49</v>
      </c>
      <c r="D10" s="28" t="s">
        <v>50</v>
      </c>
      <c r="E10" s="33" t="s">
        <v>51</v>
      </c>
      <c r="F10" s="35" t="s">
        <v>52</v>
      </c>
      <c r="G10" s="28" t="s">
        <v>53</v>
      </c>
      <c r="H10" s="28" t="s">
        <v>54</v>
      </c>
      <c r="I10" s="36" t="s">
        <v>55</v>
      </c>
      <c r="J10" s="35" t="s">
        <v>56</v>
      </c>
      <c r="K10" s="28" t="s">
        <v>57</v>
      </c>
      <c r="L10" s="28" t="s">
        <v>58</v>
      </c>
      <c r="M10" s="36" t="s">
        <v>59</v>
      </c>
      <c r="N10" s="35" t="s">
        <v>60</v>
      </c>
      <c r="O10" s="28" t="s">
        <v>61</v>
      </c>
      <c r="P10" s="28" t="s">
        <v>62</v>
      </c>
      <c r="Q10" s="36" t="s">
        <v>63</v>
      </c>
      <c r="R10" s="35" t="s">
        <v>64</v>
      </c>
      <c r="S10" s="28" t="s">
        <v>65</v>
      </c>
      <c r="T10" s="28" t="s">
        <v>66</v>
      </c>
      <c r="U10" s="28" t="s">
        <v>67</v>
      </c>
      <c r="V10" s="36" t="s">
        <v>68</v>
      </c>
      <c r="W10" s="35" t="s">
        <v>69</v>
      </c>
      <c r="X10" s="28" t="s">
        <v>70</v>
      </c>
      <c r="Y10" s="28" t="s">
        <v>71</v>
      </c>
      <c r="Z10" s="36" t="s">
        <v>72</v>
      </c>
      <c r="AA10" s="35" t="s">
        <v>73</v>
      </c>
      <c r="AB10" s="28" t="s">
        <v>74</v>
      </c>
      <c r="AC10" s="28" t="s">
        <v>75</v>
      </c>
      <c r="AD10" s="36" t="s">
        <v>76</v>
      </c>
      <c r="AE10" s="35" t="s">
        <v>77</v>
      </c>
      <c r="AF10" s="28" t="s">
        <v>78</v>
      </c>
      <c r="AG10" s="28" t="s">
        <v>79</v>
      </c>
      <c r="AH10" s="28" t="s">
        <v>80</v>
      </c>
      <c r="AI10" s="36" t="s">
        <v>81</v>
      </c>
      <c r="AJ10" s="35" t="s">
        <v>82</v>
      </c>
      <c r="AK10" s="28" t="s">
        <v>83</v>
      </c>
      <c r="AL10" s="28" t="s">
        <v>84</v>
      </c>
      <c r="AM10" s="36" t="s">
        <v>85</v>
      </c>
      <c r="AN10" s="35" t="s">
        <v>86</v>
      </c>
      <c r="AO10" s="28" t="s">
        <v>87</v>
      </c>
      <c r="AP10" s="28" t="s">
        <v>88</v>
      </c>
      <c r="AQ10" s="28" t="s">
        <v>89</v>
      </c>
      <c r="AR10" s="36" t="s">
        <v>90</v>
      </c>
      <c r="AS10" s="35" t="s">
        <v>91</v>
      </c>
      <c r="AT10" s="28" t="s">
        <v>92</v>
      </c>
      <c r="AU10" s="28" t="s">
        <v>93</v>
      </c>
      <c r="AV10" s="36" t="s">
        <v>94</v>
      </c>
      <c r="AW10" s="35" t="s">
        <v>95</v>
      </c>
      <c r="AX10" s="28" t="s">
        <v>96</v>
      </c>
      <c r="AY10" s="28" t="s">
        <v>97</v>
      </c>
      <c r="AZ10" s="36" t="s">
        <v>98</v>
      </c>
      <c r="BA10" s="35" t="s">
        <v>99</v>
      </c>
      <c r="BB10" s="28" t="s">
        <v>100</v>
      </c>
      <c r="BC10" s="28" t="s">
        <v>101</v>
      </c>
      <c r="BD10" s="28" t="s">
        <v>102</v>
      </c>
      <c r="BE10" s="36" t="s">
        <v>103</v>
      </c>
    </row>
    <row r="11" spans="1:57" s="46" customFormat="1" ht="14.45" x14ac:dyDescent="0.35">
      <c r="A11" s="46" t="s">
        <v>104</v>
      </c>
      <c r="B11" s="47">
        <f>B3/B4</f>
        <v>6.3203175072721001</v>
      </c>
      <c r="C11" s="47">
        <f t="shared" ref="C11:E11" si="2">C3/C4</f>
        <v>6.2434958527210194</v>
      </c>
      <c r="D11" s="47">
        <f t="shared" si="2"/>
        <v>6.2478529714874611</v>
      </c>
      <c r="E11" s="47">
        <f t="shared" si="2"/>
        <v>6.2087113608992368</v>
      </c>
      <c r="F11" s="49">
        <f>F3/F4</f>
        <v>6.2015262420183772</v>
      </c>
      <c r="G11" s="49">
        <f t="shared" ref="G11:BE11" si="3">G3/G4</f>
        <v>6.2015262420183772</v>
      </c>
      <c r="H11" s="49">
        <f t="shared" si="3"/>
        <v>6.2015262420183772</v>
      </c>
      <c r="I11" s="49">
        <f t="shared" si="3"/>
        <v>6.2015262420183772</v>
      </c>
      <c r="J11" s="49">
        <f t="shared" si="3"/>
        <v>6.2550491670511255</v>
      </c>
      <c r="K11" s="49">
        <f t="shared" si="3"/>
        <v>6.2550491670511255</v>
      </c>
      <c r="L11" s="49">
        <f t="shared" si="3"/>
        <v>6.2550491670511255</v>
      </c>
      <c r="M11" s="49">
        <f t="shared" si="3"/>
        <v>6.2550491670511255</v>
      </c>
      <c r="N11" s="49">
        <f t="shared" si="3"/>
        <v>6.2803652916550954</v>
      </c>
      <c r="O11" s="49">
        <f t="shared" si="3"/>
        <v>6.2803652916550954</v>
      </c>
      <c r="P11" s="49">
        <f t="shared" si="3"/>
        <v>6.2803652916550954</v>
      </c>
      <c r="Q11" s="49">
        <f t="shared" si="3"/>
        <v>6.2803652916550954</v>
      </c>
      <c r="R11" s="49">
        <f t="shared" si="3"/>
        <v>6.3240875352291246</v>
      </c>
      <c r="S11" s="49">
        <f t="shared" si="3"/>
        <v>6.3240875352291246</v>
      </c>
      <c r="T11" s="49">
        <f t="shared" si="3"/>
        <v>6.3240875352291246</v>
      </c>
      <c r="U11" s="49">
        <f t="shared" si="3"/>
        <v>6.3240875352291246</v>
      </c>
      <c r="V11" s="49">
        <f t="shared" si="3"/>
        <v>6.3240875352291246</v>
      </c>
      <c r="W11" s="49">
        <f t="shared" si="3"/>
        <v>6.3580623373151086</v>
      </c>
      <c r="X11" s="49">
        <f t="shared" si="3"/>
        <v>6.36455678301206</v>
      </c>
      <c r="Y11" s="49">
        <f t="shared" si="3"/>
        <v>6.3710645097840564</v>
      </c>
      <c r="Z11" s="49">
        <f t="shared" si="3"/>
        <v>6.3841199698450888</v>
      </c>
      <c r="AA11" s="49" t="e">
        <f t="shared" si="3"/>
        <v>#DIV/0!</v>
      </c>
      <c r="AB11" s="49" t="e">
        <f t="shared" si="3"/>
        <v>#DIV/0!</v>
      </c>
      <c r="AC11" s="49" t="e">
        <f t="shared" si="3"/>
        <v>#DIV/0!</v>
      </c>
      <c r="AD11" s="49" t="e">
        <f t="shared" si="3"/>
        <v>#DIV/0!</v>
      </c>
      <c r="AE11" s="49" t="e">
        <f t="shared" si="3"/>
        <v>#DIV/0!</v>
      </c>
      <c r="AF11" s="49" t="e">
        <f t="shared" si="3"/>
        <v>#DIV/0!</v>
      </c>
      <c r="AG11" s="49" t="e">
        <f t="shared" si="3"/>
        <v>#DIV/0!</v>
      </c>
      <c r="AH11" s="49" t="e">
        <f t="shared" si="3"/>
        <v>#DIV/0!</v>
      </c>
      <c r="AI11" s="49" t="e">
        <f t="shared" si="3"/>
        <v>#DIV/0!</v>
      </c>
      <c r="AJ11" s="49" t="e">
        <f t="shared" si="3"/>
        <v>#DIV/0!</v>
      </c>
      <c r="AK11" s="49" t="e">
        <f t="shared" si="3"/>
        <v>#DIV/0!</v>
      </c>
      <c r="AL11" s="49" t="e">
        <f t="shared" si="3"/>
        <v>#DIV/0!</v>
      </c>
      <c r="AM11" s="49" t="e">
        <f t="shared" si="3"/>
        <v>#DIV/0!</v>
      </c>
      <c r="AN11" s="49" t="e">
        <f t="shared" si="3"/>
        <v>#DIV/0!</v>
      </c>
      <c r="AO11" s="49" t="e">
        <f t="shared" si="3"/>
        <v>#DIV/0!</v>
      </c>
      <c r="AP11" s="49" t="e">
        <f t="shared" si="3"/>
        <v>#DIV/0!</v>
      </c>
      <c r="AQ11" s="49" t="e">
        <f t="shared" si="3"/>
        <v>#DIV/0!</v>
      </c>
      <c r="AR11" s="49" t="e">
        <f t="shared" si="3"/>
        <v>#DIV/0!</v>
      </c>
      <c r="AS11" s="49" t="e">
        <f t="shared" si="3"/>
        <v>#DIV/0!</v>
      </c>
      <c r="AT11" s="49" t="e">
        <f t="shared" si="3"/>
        <v>#DIV/0!</v>
      </c>
      <c r="AU11" s="49" t="e">
        <f t="shared" si="3"/>
        <v>#DIV/0!</v>
      </c>
      <c r="AV11" s="49" t="e">
        <f t="shared" si="3"/>
        <v>#DIV/0!</v>
      </c>
      <c r="AW11" s="49" t="e">
        <f t="shared" si="3"/>
        <v>#DIV/0!</v>
      </c>
      <c r="AX11" s="49" t="e">
        <f t="shared" si="3"/>
        <v>#DIV/0!</v>
      </c>
      <c r="AY11" s="49" t="e">
        <f t="shared" si="3"/>
        <v>#DIV/0!</v>
      </c>
      <c r="AZ11" s="49" t="e">
        <f t="shared" si="3"/>
        <v>#DIV/0!</v>
      </c>
      <c r="BA11" s="49" t="e">
        <f t="shared" si="3"/>
        <v>#DIV/0!</v>
      </c>
      <c r="BB11" s="49" t="e">
        <f t="shared" si="3"/>
        <v>#DIV/0!</v>
      </c>
      <c r="BC11" s="49" t="e">
        <f t="shared" si="3"/>
        <v>#DIV/0!</v>
      </c>
      <c r="BD11" s="49" t="e">
        <f t="shared" si="3"/>
        <v>#DIV/0!</v>
      </c>
      <c r="BE11" s="49" t="e">
        <f t="shared" si="3"/>
        <v>#DIV/0!</v>
      </c>
    </row>
    <row r="12" spans="1:57" s="46" customFormat="1" ht="14.45" x14ac:dyDescent="0.35">
      <c r="A12" t="s">
        <v>114</v>
      </c>
      <c r="B12" s="30">
        <f>B11/B13-1</f>
        <v>3.2250011543015766E-3</v>
      </c>
      <c r="C12" s="30">
        <f>(AVERAGE($B11:C11))/C13-1</f>
        <v>-2.8719555561016463E-3</v>
      </c>
      <c r="D12" s="30">
        <f>(AVERAGE($B11:D11))/D13-1</f>
        <v>-4.6737390751014907E-3</v>
      </c>
      <c r="E12" s="30">
        <f>(AVERAGE($B11:E11))/E13-1</f>
        <v>-7.1278693500071988E-3</v>
      </c>
      <c r="F12" s="62">
        <f>F11/F13-1</f>
        <v>-7.0642255202498783E-3</v>
      </c>
      <c r="G12" s="30">
        <f>(SUM($F3:G3)/SUM($F4:G4))/G13-1</f>
        <v>-7.0642255202498783E-3</v>
      </c>
      <c r="H12" s="30">
        <f>(SUM($F3:H3)/SUM($F4:H4))/H13-1</f>
        <v>-7.0642255202498783E-3</v>
      </c>
      <c r="I12" s="30">
        <f>(SUM($F3:I3)/SUM($F4:I4))/I13-1</f>
        <v>-7.0642255202498783E-3</v>
      </c>
      <c r="J12" s="30">
        <f>(SUM($F3:J3)/SUM($F4:J4))/J13-1</f>
        <v>-4.1497708195135097E-3</v>
      </c>
      <c r="K12" s="30">
        <f>(SUM($F3:K3)/SUM($F4:K4))/K13-1</f>
        <v>-2.7145879025907149E-3</v>
      </c>
      <c r="L12" s="30">
        <f>(SUM($F3:L3)/SUM($F4:L4))/L13-1</f>
        <v>-1.8604047008611291E-3</v>
      </c>
      <c r="M12" s="30">
        <f>(SUM($F3:M3)/SUM($F4:M4))/M13-1</f>
        <v>-1.2938063346848994E-3</v>
      </c>
      <c r="N12" s="30">
        <f>(SUM($F3:N3)/SUM($F4:N4))/N13-1</f>
        <v>1.1773799381686878E-4</v>
      </c>
      <c r="O12" s="30">
        <f>(SUM($F3:O3)/SUM($F4:O4))/O13-1</f>
        <v>1.0470902567227824E-3</v>
      </c>
      <c r="P12" s="30">
        <f>(SUM($F3:P3)/SUM($F4:P4))/P13-1</f>
        <v>1.7052847421652473E-3</v>
      </c>
      <c r="Q12" s="30">
        <f>(SUM($F3:Q3)/SUM($F4:Q4))/Q13-1</f>
        <v>2.1958866526914367E-3</v>
      </c>
      <c r="R12" s="30">
        <f>(SUM($F3:R3)/SUM($F4:R4))/R13-1</f>
        <v>3.43126726859877E-3</v>
      </c>
      <c r="S12" s="30">
        <f>(SUM($F3:S3)/SUM($F4:S4))/S13-1</f>
        <v>4.4034874260763246E-3</v>
      </c>
      <c r="T12" s="30">
        <f>(SUM($F3:T3)/SUM($F4:T4))/T13-1</f>
        <v>5.1885406261029665E-3</v>
      </c>
      <c r="U12" s="30">
        <f>(SUM($F3:U3)/SUM($F4:U4))/U13-1</f>
        <v>5.8357297638431671E-3</v>
      </c>
      <c r="V12" s="30">
        <f>(SUM($F3:V3)/SUM($F4:V4))/V13-1</f>
        <v>6.3784391982590893E-3</v>
      </c>
      <c r="W12" s="30">
        <f>(SUM($F3:W3)/SUM($F4:W4))/W13-1</f>
        <v>7.6739401448757683E-3</v>
      </c>
      <c r="X12" s="30">
        <f>(SUM($F3:X3)/SUM($F4:X4))/X13-1</f>
        <v>8.8128101668791814E-3</v>
      </c>
      <c r="Y12" s="30">
        <f>(SUM($F3:Y3)/SUM($F4:Y4))/Y13-1</f>
        <v>9.8381699732430494E-3</v>
      </c>
      <c r="Z12" s="30">
        <f>(SUM($F3:Z3)/SUM($F4:Z4))/Z13-1</f>
        <v>1.0864905070296027E-2</v>
      </c>
      <c r="AA12" s="30">
        <f>(SUM($F3:AA3)/SUM($F4:AA4))/AA13-1</f>
        <v>1.0864905070296027E-2</v>
      </c>
      <c r="AB12" s="30">
        <f>(SUM($F3:AB3)/SUM($F4:AB4))/AB13-1</f>
        <v>1.0864905070296027E-2</v>
      </c>
      <c r="AC12" s="30">
        <f>(SUM($F3:AC3)/SUM($F4:AC4))/AC13-1</f>
        <v>1.0864905070296027E-2</v>
      </c>
      <c r="AD12" s="30">
        <f>(SUM($F3:AD3)/SUM($F4:AD4))/AD13-1</f>
        <v>1.0864905070296027E-2</v>
      </c>
      <c r="AE12" s="30">
        <f>(SUM($F3:AE3)/SUM($F4:AE4))/AE13-1</f>
        <v>1.0864905070296027E-2</v>
      </c>
      <c r="AF12" s="30">
        <f>(SUM($F3:AF3)/SUM($F4:AF4))/AF13-1</f>
        <v>1.0864905070296027E-2</v>
      </c>
      <c r="AG12" s="30">
        <f>(SUM($F3:AG3)/SUM($F4:AG4))/AG13-1</f>
        <v>1.0864905070296027E-2</v>
      </c>
      <c r="AH12" s="30">
        <f>(SUM($F3:AH3)/SUM($F4:AH4))/AH13-1</f>
        <v>1.0864905070296027E-2</v>
      </c>
      <c r="AI12" s="30">
        <f>(SUM($F3:AI3)/SUM($F4:AI4))/AI13-1</f>
        <v>1.0864905070296027E-2</v>
      </c>
      <c r="AJ12" s="30">
        <f>(SUM($F3:AJ3)/SUM($F4:AJ4))/AJ13-1</f>
        <v>1.0864905070296027E-2</v>
      </c>
      <c r="AK12" s="30">
        <f>(SUM($F3:AK3)/SUM($F4:AK4))/AK13-1</f>
        <v>1.0864905070296027E-2</v>
      </c>
      <c r="AL12" s="30">
        <f>(SUM($F3:AL3)/SUM($F4:AL4))/AL13-1</f>
        <v>1.0864905070296027E-2</v>
      </c>
      <c r="AM12" s="30">
        <f>(SUM($F3:AM3)/SUM($F4:AM4))/AM13-1</f>
        <v>1.0864905070296027E-2</v>
      </c>
      <c r="AN12" s="30">
        <f>(SUM($F3:AN3)/SUM($F4:AN4))/AN13-1</f>
        <v>1.0864905070296027E-2</v>
      </c>
      <c r="AO12" s="30">
        <f>(SUM($F3:AO3)/SUM($F4:AO4))/AO13-1</f>
        <v>1.0864905070296027E-2</v>
      </c>
      <c r="AP12" s="30">
        <f>(SUM($F3:AP3)/SUM($F4:AP4))/AP13-1</f>
        <v>1.0864905070296027E-2</v>
      </c>
      <c r="AQ12" s="30">
        <f>(SUM($F3:AQ3)/SUM($F4:AQ4))/AQ13-1</f>
        <v>1.0864905070296027E-2</v>
      </c>
      <c r="AR12" s="30">
        <f>(SUM($F3:AR3)/SUM($F4:AR4))/AR13-1</f>
        <v>1.0864905070296027E-2</v>
      </c>
      <c r="AS12" s="30">
        <f>(SUM($F3:AS3)/SUM($F4:AS4))/AS13-1</f>
        <v>1.0864905070296027E-2</v>
      </c>
      <c r="AT12" s="30">
        <f>(SUM($F3:AT3)/SUM($F4:AT4))/AT13-1</f>
        <v>1.0864905070296027E-2</v>
      </c>
      <c r="AU12" s="30">
        <f>(SUM($F3:AU3)/SUM($F4:AU4))/AU13-1</f>
        <v>1.0864905070296027E-2</v>
      </c>
      <c r="AV12" s="30">
        <f>(SUM($F3:AV3)/SUM($F4:AV4))/AV13-1</f>
        <v>1.0864905070296027E-2</v>
      </c>
      <c r="AW12" s="30">
        <f>(SUM($F3:AW3)/SUM($F4:AW4))/AW13-1</f>
        <v>1.0864905070296027E-2</v>
      </c>
      <c r="AX12" s="30">
        <f>(SUM($F3:AX3)/SUM($F4:AX4))/AX13-1</f>
        <v>1.0864905070296027E-2</v>
      </c>
      <c r="AY12" s="30">
        <f>(SUM($F3:AY3)/SUM($F4:AY4))/AY13-1</f>
        <v>1.0864905070296027E-2</v>
      </c>
      <c r="AZ12" s="30">
        <f>(SUM($F3:AZ3)/SUM($F4:AZ4))/AZ13-1</f>
        <v>1.0864905070296027E-2</v>
      </c>
      <c r="BA12" s="30">
        <f>(SUM($F3:BA3)/SUM($F4:BA4))/BA13-1</f>
        <v>1.0864905070296027E-2</v>
      </c>
      <c r="BB12" s="30">
        <f>(SUM($F3:BB3)/SUM($F4:BB4))/BB13-1</f>
        <v>1.0864905070296027E-2</v>
      </c>
      <c r="BC12" s="30">
        <f>(SUM($F3:BC3)/SUM($F4:BC4))/BC13-1</f>
        <v>1.0864905070296027E-2</v>
      </c>
      <c r="BD12" s="30">
        <f>(SUM($F3:BD3)/SUM($F4:BD4))/BD13-1</f>
        <v>1.0864905070296027E-2</v>
      </c>
      <c r="BE12" s="30">
        <f>(SUM($F3:BE3)/SUM($F4:BE4))/BE13-1</f>
        <v>1.0864905070296027E-2</v>
      </c>
    </row>
    <row r="13" spans="1:57" s="46" customFormat="1" ht="14.45" x14ac:dyDescent="0.35">
      <c r="A13" s="46" t="s">
        <v>47</v>
      </c>
      <c r="B13" s="47">
        <v>6.3</v>
      </c>
      <c r="C13" s="47">
        <f>B13</f>
        <v>6.3</v>
      </c>
      <c r="D13" s="47">
        <f>C13</f>
        <v>6.3</v>
      </c>
      <c r="E13" s="48">
        <f>D13</f>
        <v>6.3</v>
      </c>
      <c r="F13" s="49">
        <f>AVERAGE(F11:Q11)</f>
        <v>6.2456469002415327</v>
      </c>
      <c r="G13" s="47">
        <f>F13</f>
        <v>6.2456469002415327</v>
      </c>
      <c r="H13" s="47">
        <f t="shared" ref="H13:BE13" si="4">G13</f>
        <v>6.2456469002415327</v>
      </c>
      <c r="I13" s="50">
        <f t="shared" si="4"/>
        <v>6.2456469002415327</v>
      </c>
      <c r="J13" s="49">
        <f t="shared" si="4"/>
        <v>6.2456469002415327</v>
      </c>
      <c r="K13" s="47">
        <f t="shared" si="4"/>
        <v>6.2456469002415327</v>
      </c>
      <c r="L13" s="47">
        <f t="shared" si="4"/>
        <v>6.2456469002415327</v>
      </c>
      <c r="M13" s="50">
        <f t="shared" si="4"/>
        <v>6.2456469002415327</v>
      </c>
      <c r="N13" s="49">
        <f t="shared" si="4"/>
        <v>6.2456469002415327</v>
      </c>
      <c r="O13" s="47">
        <f t="shared" si="4"/>
        <v>6.2456469002415327</v>
      </c>
      <c r="P13" s="47">
        <f t="shared" si="4"/>
        <v>6.2456469002415327</v>
      </c>
      <c r="Q13" s="50">
        <f t="shared" si="4"/>
        <v>6.2456469002415327</v>
      </c>
      <c r="R13" s="49">
        <f t="shared" si="4"/>
        <v>6.2456469002415327</v>
      </c>
      <c r="S13" s="47">
        <f t="shared" si="4"/>
        <v>6.2456469002415327</v>
      </c>
      <c r="T13" s="47">
        <f t="shared" si="4"/>
        <v>6.2456469002415327</v>
      </c>
      <c r="U13" s="47">
        <f t="shared" si="4"/>
        <v>6.2456469002415327</v>
      </c>
      <c r="V13" s="50">
        <f t="shared" si="4"/>
        <v>6.2456469002415327</v>
      </c>
      <c r="W13" s="49">
        <f t="shared" si="4"/>
        <v>6.2456469002415327</v>
      </c>
      <c r="X13" s="47">
        <f t="shared" si="4"/>
        <v>6.2456469002415327</v>
      </c>
      <c r="Y13" s="47">
        <f t="shared" si="4"/>
        <v>6.2456469002415327</v>
      </c>
      <c r="Z13" s="50">
        <f t="shared" si="4"/>
        <v>6.2456469002415327</v>
      </c>
      <c r="AA13" s="49">
        <f t="shared" si="4"/>
        <v>6.2456469002415327</v>
      </c>
      <c r="AB13" s="47">
        <f t="shared" si="4"/>
        <v>6.2456469002415327</v>
      </c>
      <c r="AC13" s="47">
        <f t="shared" si="4"/>
        <v>6.2456469002415327</v>
      </c>
      <c r="AD13" s="50">
        <f t="shared" si="4"/>
        <v>6.2456469002415327</v>
      </c>
      <c r="AE13" s="49">
        <f t="shared" si="4"/>
        <v>6.2456469002415327</v>
      </c>
      <c r="AF13" s="47">
        <f t="shared" si="4"/>
        <v>6.2456469002415327</v>
      </c>
      <c r="AG13" s="47">
        <f t="shared" si="4"/>
        <v>6.2456469002415327</v>
      </c>
      <c r="AH13" s="47">
        <f t="shared" si="4"/>
        <v>6.2456469002415327</v>
      </c>
      <c r="AI13" s="50">
        <f t="shared" si="4"/>
        <v>6.2456469002415327</v>
      </c>
      <c r="AJ13" s="49">
        <f t="shared" si="4"/>
        <v>6.2456469002415327</v>
      </c>
      <c r="AK13" s="47">
        <f t="shared" si="4"/>
        <v>6.2456469002415327</v>
      </c>
      <c r="AL13" s="47">
        <f t="shared" si="4"/>
        <v>6.2456469002415327</v>
      </c>
      <c r="AM13" s="50">
        <f t="shared" si="4"/>
        <v>6.2456469002415327</v>
      </c>
      <c r="AN13" s="49">
        <f t="shared" si="4"/>
        <v>6.2456469002415327</v>
      </c>
      <c r="AO13" s="47">
        <f t="shared" si="4"/>
        <v>6.2456469002415327</v>
      </c>
      <c r="AP13" s="47">
        <f t="shared" si="4"/>
        <v>6.2456469002415327</v>
      </c>
      <c r="AQ13" s="47">
        <f t="shared" si="4"/>
        <v>6.2456469002415327</v>
      </c>
      <c r="AR13" s="50">
        <f t="shared" si="4"/>
        <v>6.2456469002415327</v>
      </c>
      <c r="AS13" s="49">
        <f t="shared" si="4"/>
        <v>6.2456469002415327</v>
      </c>
      <c r="AT13" s="47">
        <f t="shared" si="4"/>
        <v>6.2456469002415327</v>
      </c>
      <c r="AU13" s="47">
        <f t="shared" si="4"/>
        <v>6.2456469002415327</v>
      </c>
      <c r="AV13" s="50">
        <f t="shared" si="4"/>
        <v>6.2456469002415327</v>
      </c>
      <c r="AW13" s="49">
        <f t="shared" si="4"/>
        <v>6.2456469002415327</v>
      </c>
      <c r="AX13" s="47">
        <f t="shared" si="4"/>
        <v>6.2456469002415327</v>
      </c>
      <c r="AY13" s="47">
        <f t="shared" si="4"/>
        <v>6.2456469002415327</v>
      </c>
      <c r="AZ13" s="50">
        <f t="shared" si="4"/>
        <v>6.2456469002415327</v>
      </c>
      <c r="BA13" s="49">
        <f t="shared" si="4"/>
        <v>6.2456469002415327</v>
      </c>
      <c r="BB13" s="47">
        <f t="shared" si="4"/>
        <v>6.2456469002415327</v>
      </c>
      <c r="BC13" s="47">
        <f t="shared" si="4"/>
        <v>6.2456469002415327</v>
      </c>
      <c r="BD13" s="47">
        <f t="shared" si="4"/>
        <v>6.2456469002415327</v>
      </c>
      <c r="BE13" s="50">
        <f t="shared" si="4"/>
        <v>6.2456469002415327</v>
      </c>
    </row>
    <row r="14" spans="1:57" thickBot="1" x14ac:dyDescent="0.4">
      <c r="A14" t="s">
        <v>105</v>
      </c>
      <c r="B14" s="29">
        <f>B11/B13-1</f>
        <v>3.2250011543015766E-3</v>
      </c>
      <c r="C14" s="29">
        <f t="shared" ref="C14:E14" si="5">C11/C13-1</f>
        <v>-8.9689122665048693E-3</v>
      </c>
      <c r="D14" s="29">
        <f t="shared" si="5"/>
        <v>-8.2773061131014014E-3</v>
      </c>
      <c r="E14" s="34">
        <f t="shared" si="5"/>
        <v>-1.4490260174724323E-2</v>
      </c>
      <c r="F14" s="39">
        <f>F11/F13-1</f>
        <v>-7.0642255202498783E-3</v>
      </c>
      <c r="G14" s="40">
        <f t="shared" ref="G14:BE14" si="6">G11/G13-1</f>
        <v>-7.0642255202498783E-3</v>
      </c>
      <c r="H14" s="40">
        <f t="shared" si="6"/>
        <v>-7.0642255202498783E-3</v>
      </c>
      <c r="I14" s="41">
        <f t="shared" si="6"/>
        <v>-7.0642255202498783E-3</v>
      </c>
      <c r="J14" s="39">
        <f t="shared" si="6"/>
        <v>1.5054112023573651E-3</v>
      </c>
      <c r="K14" s="40">
        <f t="shared" si="6"/>
        <v>1.5054112023573651E-3</v>
      </c>
      <c r="L14" s="40">
        <f t="shared" si="6"/>
        <v>1.5054112023573651E-3</v>
      </c>
      <c r="M14" s="41">
        <f t="shared" si="6"/>
        <v>1.5054112023573651E-3</v>
      </c>
      <c r="N14" s="39">
        <f t="shared" si="6"/>
        <v>5.5588143178924021E-3</v>
      </c>
      <c r="O14" s="40">
        <f t="shared" si="6"/>
        <v>5.5588143178924021E-3</v>
      </c>
      <c r="P14" s="40">
        <f t="shared" si="6"/>
        <v>5.5588143178924021E-3</v>
      </c>
      <c r="Q14" s="41">
        <f t="shared" si="6"/>
        <v>5.5588143178924021E-3</v>
      </c>
      <c r="R14" s="39">
        <f t="shared" si="6"/>
        <v>1.2559249064265643E-2</v>
      </c>
      <c r="S14" s="40">
        <f t="shared" si="6"/>
        <v>1.2559249064265643E-2</v>
      </c>
      <c r="T14" s="40">
        <f t="shared" si="6"/>
        <v>1.2559249064265643E-2</v>
      </c>
      <c r="U14" s="40">
        <f t="shared" si="6"/>
        <v>1.2559249064265643E-2</v>
      </c>
      <c r="V14" s="41">
        <f t="shared" si="6"/>
        <v>1.2559249064265643E-2</v>
      </c>
      <c r="W14" s="39">
        <f t="shared" si="6"/>
        <v>1.7999006166875775E-2</v>
      </c>
      <c r="X14" s="40">
        <f t="shared" si="6"/>
        <v>1.9038841719650978E-2</v>
      </c>
      <c r="Y14" s="40">
        <f t="shared" si="6"/>
        <v>2.0080803725499363E-2</v>
      </c>
      <c r="Z14" s="41">
        <f t="shared" si="6"/>
        <v>2.2171133241330132E-2</v>
      </c>
      <c r="AA14" s="39" t="e">
        <f t="shared" si="6"/>
        <v>#DIV/0!</v>
      </c>
      <c r="AB14" s="40" t="e">
        <f t="shared" si="6"/>
        <v>#DIV/0!</v>
      </c>
      <c r="AC14" s="40" t="e">
        <f t="shared" si="6"/>
        <v>#DIV/0!</v>
      </c>
      <c r="AD14" s="41" t="e">
        <f t="shared" si="6"/>
        <v>#DIV/0!</v>
      </c>
      <c r="AE14" s="39" t="e">
        <f t="shared" si="6"/>
        <v>#DIV/0!</v>
      </c>
      <c r="AF14" s="40" t="e">
        <f t="shared" si="6"/>
        <v>#DIV/0!</v>
      </c>
      <c r="AG14" s="40" t="e">
        <f t="shared" si="6"/>
        <v>#DIV/0!</v>
      </c>
      <c r="AH14" s="40" t="e">
        <f t="shared" si="6"/>
        <v>#DIV/0!</v>
      </c>
      <c r="AI14" s="41" t="e">
        <f t="shared" si="6"/>
        <v>#DIV/0!</v>
      </c>
      <c r="AJ14" s="39" t="e">
        <f t="shared" si="6"/>
        <v>#DIV/0!</v>
      </c>
      <c r="AK14" s="40" t="e">
        <f t="shared" si="6"/>
        <v>#DIV/0!</v>
      </c>
      <c r="AL14" s="40" t="e">
        <f t="shared" si="6"/>
        <v>#DIV/0!</v>
      </c>
      <c r="AM14" s="41" t="e">
        <f t="shared" si="6"/>
        <v>#DIV/0!</v>
      </c>
      <c r="AN14" s="39" t="e">
        <f t="shared" si="6"/>
        <v>#DIV/0!</v>
      </c>
      <c r="AO14" s="40" t="e">
        <f t="shared" si="6"/>
        <v>#DIV/0!</v>
      </c>
      <c r="AP14" s="40" t="e">
        <f t="shared" si="6"/>
        <v>#DIV/0!</v>
      </c>
      <c r="AQ14" s="40" t="e">
        <f t="shared" si="6"/>
        <v>#DIV/0!</v>
      </c>
      <c r="AR14" s="41" t="e">
        <f t="shared" si="6"/>
        <v>#DIV/0!</v>
      </c>
      <c r="AS14" s="39" t="e">
        <f t="shared" si="6"/>
        <v>#DIV/0!</v>
      </c>
      <c r="AT14" s="40" t="e">
        <f t="shared" si="6"/>
        <v>#DIV/0!</v>
      </c>
      <c r="AU14" s="40" t="e">
        <f t="shared" si="6"/>
        <v>#DIV/0!</v>
      </c>
      <c r="AV14" s="41" t="e">
        <f t="shared" si="6"/>
        <v>#DIV/0!</v>
      </c>
      <c r="AW14" s="39" t="e">
        <f t="shared" si="6"/>
        <v>#DIV/0!</v>
      </c>
      <c r="AX14" s="40" t="e">
        <f t="shared" si="6"/>
        <v>#DIV/0!</v>
      </c>
      <c r="AY14" s="40" t="e">
        <f t="shared" si="6"/>
        <v>#DIV/0!</v>
      </c>
      <c r="AZ14" s="41" t="e">
        <f t="shared" si="6"/>
        <v>#DIV/0!</v>
      </c>
      <c r="BA14" s="39" t="e">
        <f t="shared" si="6"/>
        <v>#DIV/0!</v>
      </c>
      <c r="BB14" s="40" t="e">
        <f t="shared" si="6"/>
        <v>#DIV/0!</v>
      </c>
      <c r="BC14" s="40" t="e">
        <f t="shared" si="6"/>
        <v>#DIV/0!</v>
      </c>
      <c r="BD14" s="40" t="e">
        <f t="shared" si="6"/>
        <v>#DIV/0!</v>
      </c>
      <c r="BE14" s="41" t="e">
        <f t="shared" si="6"/>
        <v>#DIV/0!</v>
      </c>
    </row>
    <row r="17" spans="1:17" ht="14.45" x14ac:dyDescent="0.35">
      <c r="B17" s="28" t="s">
        <v>48</v>
      </c>
      <c r="C17" s="28" t="s">
        <v>49</v>
      </c>
      <c r="D17" s="28" t="s">
        <v>50</v>
      </c>
      <c r="E17" s="28" t="s">
        <v>51</v>
      </c>
      <c r="F17" s="31">
        <v>42385</v>
      </c>
      <c r="G17" s="31">
        <v>42416</v>
      </c>
      <c r="H17" s="31">
        <v>42445</v>
      </c>
      <c r="I17" s="31">
        <v>42476</v>
      </c>
      <c r="J17" s="31">
        <v>42506</v>
      </c>
      <c r="K17" s="31">
        <v>42537</v>
      </c>
      <c r="L17" s="31">
        <v>42567</v>
      </c>
      <c r="M17" s="31">
        <v>42598</v>
      </c>
      <c r="N17" s="31">
        <v>42629</v>
      </c>
      <c r="O17" s="31">
        <v>42659</v>
      </c>
      <c r="P17" s="31">
        <v>42690</v>
      </c>
      <c r="Q17" s="31">
        <v>42720</v>
      </c>
    </row>
    <row r="18" spans="1:17" s="46" customFormat="1" ht="14.45" x14ac:dyDescent="0.35">
      <c r="A18" s="46" t="s">
        <v>106</v>
      </c>
      <c r="B18" s="47">
        <f>B11</f>
        <v>6.3203175072721001</v>
      </c>
      <c r="C18" s="47">
        <f t="shared" ref="C18:E18" si="7">C11</f>
        <v>6.2434958527210194</v>
      </c>
      <c r="D18" s="47">
        <f t="shared" si="7"/>
        <v>6.2478529714874611</v>
      </c>
      <c r="E18" s="47">
        <f t="shared" si="7"/>
        <v>6.2087113608992368</v>
      </c>
      <c r="F18" s="47">
        <f>SUM(F3:I3)/SUM(F4:I4)</f>
        <v>6.2015262420183772</v>
      </c>
      <c r="G18" s="47">
        <f>SUM(J3:M3)/SUM(J4:M4)</f>
        <v>6.2550491670511255</v>
      </c>
      <c r="H18" s="47">
        <f>SUM(N3:Q3)/SUM(N4:Q4)</f>
        <v>6.2803652916550954</v>
      </c>
      <c r="I18" s="47">
        <f>SUM(R3:V3)/SUM(R4:V4)</f>
        <v>6.3240875352291246</v>
      </c>
      <c r="J18" s="47">
        <f>SUM(W3:Z3)/SUM(W4:Z4)</f>
        <v>6.3694363307629001</v>
      </c>
      <c r="K18" s="47" t="e">
        <f>SUM(AA3:AD3)/SUM(AA4:AD4)</f>
        <v>#DIV/0!</v>
      </c>
      <c r="L18" s="47" t="e">
        <f>SUM(AE3:AI3)/SUM(AE4:AI4)</f>
        <v>#DIV/0!</v>
      </c>
      <c r="M18" s="47" t="e">
        <f>SUM(AJ3:AM3)/SUM(AJ4:AM5)</f>
        <v>#DIV/0!</v>
      </c>
      <c r="N18" s="47" t="e">
        <f>SUM(AN3:AR3)/SUM(AN4:AR4)</f>
        <v>#DIV/0!</v>
      </c>
      <c r="O18" s="47" t="e">
        <f>SUM(AS3:AV3)/SUM(AS4:AV4)</f>
        <v>#DIV/0!</v>
      </c>
      <c r="P18" s="47" t="e">
        <f>SUM(AW3:AZ3)/SUM(AW4:AZ4)</f>
        <v>#DIV/0!</v>
      </c>
      <c r="Q18" s="47" t="e">
        <f>SUM(BA3:BE3)/SUM(BA4:BE4)</f>
        <v>#DIV/0!</v>
      </c>
    </row>
    <row r="19" spans="1:17" s="46" customFormat="1" ht="14.45" x14ac:dyDescent="0.35">
      <c r="A19" t="s">
        <v>114</v>
      </c>
      <c r="B19" s="30">
        <f>B18/B20-1</f>
        <v>3.2250011543015766E-3</v>
      </c>
      <c r="C19" s="30">
        <f>(AVERAGE($B18:C18))/C20-1</f>
        <v>-2.8719555561016463E-3</v>
      </c>
      <c r="D19" s="30">
        <f>(AVERAGE($B18:D18))/D20-1</f>
        <v>-4.6737390751014907E-3</v>
      </c>
      <c r="E19" s="30">
        <f>(AVERAGE($B18:E18))/E20-1</f>
        <v>-7.1278693500071988E-3</v>
      </c>
      <c r="F19" s="30">
        <f>F18/F20-1</f>
        <v>-7.0642255202498783E-3</v>
      </c>
      <c r="G19" s="30">
        <f>(SUM($F3:M3)/SUM($F4:M4))/G20-1</f>
        <v>-1.2938063346848994E-3</v>
      </c>
      <c r="H19" s="30">
        <f>(SUM($F3:N3)/SUM($F4:N4))/H20-1</f>
        <v>1.1773799381686878E-4</v>
      </c>
      <c r="I19" s="30">
        <f>(SUM($F3:O3)/SUM($F4:O4))/I20-1</f>
        <v>1.0470902567227824E-3</v>
      </c>
      <c r="J19" s="30">
        <f>(SUM($F3:P3)/SUM($F4:P4))/J20-1</f>
        <v>1.7052847421652473E-3</v>
      </c>
      <c r="K19" s="30">
        <f>(SUM($F3:Q3)/SUM($F4:Q4))/K20-1</f>
        <v>2.1958866526914367E-3</v>
      </c>
      <c r="L19" s="30">
        <f>(SUM($F3:R3)/SUM($F4:R4))/L20-1</f>
        <v>3.43126726859877E-3</v>
      </c>
      <c r="M19" s="30">
        <f>(SUM($F3:S3)/SUM($F4:S4))/M20-1</f>
        <v>4.4034874260763246E-3</v>
      </c>
      <c r="N19" s="30">
        <f>(SUM($F3:T3)/SUM($F4:T4))/N20-1</f>
        <v>5.1885406261029665E-3</v>
      </c>
      <c r="O19" s="30">
        <f>(SUM($F3:U3)/SUM($F4:U4))/O20-1</f>
        <v>5.8357297638431671E-3</v>
      </c>
      <c r="P19" s="30">
        <f>(SUM($F3:V3)/SUM($F4:V4))/P20-1</f>
        <v>6.3784391982590893E-3</v>
      </c>
      <c r="Q19" s="30">
        <f>(SUM($F3:W3)/SUM($F4:W4))/Q20-1</f>
        <v>7.6739401448757683E-3</v>
      </c>
    </row>
    <row r="20" spans="1:17" s="46" customFormat="1" ht="14.45" x14ac:dyDescent="0.35">
      <c r="A20" s="46" t="s">
        <v>47</v>
      </c>
      <c r="B20" s="47">
        <f>B13</f>
        <v>6.3</v>
      </c>
      <c r="C20" s="47">
        <f t="shared" ref="C20:E20" si="8">C13</f>
        <v>6.3</v>
      </c>
      <c r="D20" s="47">
        <f t="shared" si="8"/>
        <v>6.3</v>
      </c>
      <c r="E20" s="47">
        <f t="shared" si="8"/>
        <v>6.3</v>
      </c>
      <c r="F20" s="47">
        <f>F13</f>
        <v>6.2456469002415327</v>
      </c>
      <c r="G20" s="47">
        <f>F20</f>
        <v>6.2456469002415327</v>
      </c>
      <c r="H20" s="47">
        <f t="shared" ref="H20:Q20" si="9">G20</f>
        <v>6.2456469002415327</v>
      </c>
      <c r="I20" s="47">
        <f t="shared" si="9"/>
        <v>6.2456469002415327</v>
      </c>
      <c r="J20" s="47">
        <f t="shared" si="9"/>
        <v>6.2456469002415327</v>
      </c>
      <c r="K20" s="47">
        <f t="shared" si="9"/>
        <v>6.2456469002415327</v>
      </c>
      <c r="L20" s="47">
        <f t="shared" si="9"/>
        <v>6.2456469002415327</v>
      </c>
      <c r="M20" s="47">
        <f t="shared" si="9"/>
        <v>6.2456469002415327</v>
      </c>
      <c r="N20" s="47">
        <f t="shared" si="9"/>
        <v>6.2456469002415327</v>
      </c>
      <c r="O20" s="47">
        <f t="shared" si="9"/>
        <v>6.2456469002415327</v>
      </c>
      <c r="P20" s="47">
        <f t="shared" si="9"/>
        <v>6.2456469002415327</v>
      </c>
      <c r="Q20" s="47">
        <f t="shared" si="9"/>
        <v>6.2456469002415327</v>
      </c>
    </row>
    <row r="21" spans="1:17" ht="14.45" x14ac:dyDescent="0.35">
      <c r="A21" t="s">
        <v>105</v>
      </c>
      <c r="B21" s="29">
        <f>B18/B20-1</f>
        <v>3.2250011543015766E-3</v>
      </c>
      <c r="C21" s="29">
        <f t="shared" ref="C21:E21" si="10">C18/C20-1</f>
        <v>-8.9689122665048693E-3</v>
      </c>
      <c r="D21" s="29">
        <f t="shared" si="10"/>
        <v>-8.2773061131014014E-3</v>
      </c>
      <c r="E21" s="29">
        <f t="shared" si="10"/>
        <v>-1.4490260174724323E-2</v>
      </c>
      <c r="F21" s="30">
        <f>F18/F20-1</f>
        <v>-7.0642255202498783E-3</v>
      </c>
      <c r="G21" s="30">
        <f t="shared" ref="G21:Q21" si="11">G18/G20-1</f>
        <v>1.5054112023573651E-3</v>
      </c>
      <c r="H21" s="30">
        <f t="shared" si="11"/>
        <v>5.5588143178924021E-3</v>
      </c>
      <c r="I21" s="30">
        <f t="shared" si="11"/>
        <v>1.2559249064265643E-2</v>
      </c>
      <c r="J21" s="30">
        <f t="shared" si="11"/>
        <v>1.9820113512433846E-2</v>
      </c>
      <c r="K21" s="30" t="e">
        <f t="shared" si="11"/>
        <v>#DIV/0!</v>
      </c>
      <c r="L21" s="30" t="e">
        <f t="shared" si="11"/>
        <v>#DIV/0!</v>
      </c>
      <c r="M21" s="30" t="e">
        <f t="shared" si="11"/>
        <v>#DIV/0!</v>
      </c>
      <c r="N21" s="30" t="e">
        <f t="shared" si="11"/>
        <v>#DIV/0!</v>
      </c>
      <c r="O21" s="30" t="e">
        <f t="shared" si="11"/>
        <v>#DIV/0!</v>
      </c>
      <c r="P21" s="30" t="e">
        <f t="shared" si="11"/>
        <v>#DIV/0!</v>
      </c>
      <c r="Q21" s="30" t="e">
        <f t="shared" si="11"/>
        <v>#DIV/0!</v>
      </c>
    </row>
  </sheetData>
  <mergeCells count="26">
    <mergeCell ref="AN9:AR9"/>
    <mergeCell ref="AS9:AV9"/>
    <mergeCell ref="AW9:AZ9"/>
    <mergeCell ref="BA9:BE9"/>
    <mergeCell ref="BA1:BE1"/>
    <mergeCell ref="AN1:AR1"/>
    <mergeCell ref="AS1:AV1"/>
    <mergeCell ref="AW1:AZ1"/>
    <mergeCell ref="B9:E9"/>
    <mergeCell ref="F9:I9"/>
    <mergeCell ref="J9:M9"/>
    <mergeCell ref="N9:Q9"/>
    <mergeCell ref="R9:V9"/>
    <mergeCell ref="W9:Z9"/>
    <mergeCell ref="AA9:AD9"/>
    <mergeCell ref="AE9:AI9"/>
    <mergeCell ref="AJ9:AM9"/>
    <mergeCell ref="AA1:AD1"/>
    <mergeCell ref="AE1:AI1"/>
    <mergeCell ref="AJ1:AM1"/>
    <mergeCell ref="W1:Z1"/>
    <mergeCell ref="B1:E1"/>
    <mergeCell ref="F1:I1"/>
    <mergeCell ref="J1:M1"/>
    <mergeCell ref="N1:Q1"/>
    <mergeCell ref="R1:V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21"/>
  <sheetViews>
    <sheetView zoomScale="98" zoomScaleNormal="98" workbookViewId="0">
      <pane xSplit="1" ySplit="4" topLeftCell="B5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defaultRowHeight="15" x14ac:dyDescent="0.25"/>
  <cols>
    <col min="1" max="1" width="33.42578125" bestFit="1" customWidth="1"/>
    <col min="2" max="3" width="11.85546875" bestFit="1" customWidth="1"/>
    <col min="4" max="4" width="11.42578125" bestFit="1" customWidth="1"/>
    <col min="5" max="5" width="11.140625" bestFit="1" customWidth="1"/>
    <col min="6" max="13" width="10.5703125" bestFit="1" customWidth="1"/>
    <col min="14" max="17" width="10.85546875" bestFit="1" customWidth="1"/>
    <col min="18" max="26" width="11.42578125" bestFit="1" customWidth="1"/>
    <col min="27" max="35" width="9.140625" bestFit="1" customWidth="1"/>
    <col min="36" max="36" width="8.85546875" bestFit="1" customWidth="1"/>
    <col min="37" max="45" width="9.140625" bestFit="1" customWidth="1"/>
    <col min="46" max="46" width="8.85546875" bestFit="1" customWidth="1"/>
    <col min="47" max="47" width="9.140625" bestFit="1" customWidth="1"/>
    <col min="48" max="57" width="7.85546875" bestFit="1" customWidth="1"/>
  </cols>
  <sheetData>
    <row r="1" spans="1:57" s="32" customFormat="1" ht="14.45" x14ac:dyDescent="0.35">
      <c r="A1" s="32" t="s">
        <v>107</v>
      </c>
      <c r="B1" s="139">
        <v>2015</v>
      </c>
      <c r="C1" s="140"/>
      <c r="D1" s="140"/>
      <c r="E1" s="140"/>
      <c r="F1" s="141">
        <v>42385</v>
      </c>
      <c r="G1" s="142"/>
      <c r="H1" s="142"/>
      <c r="I1" s="143"/>
      <c r="J1" s="141">
        <v>42416</v>
      </c>
      <c r="K1" s="142"/>
      <c r="L1" s="142"/>
      <c r="M1" s="143"/>
      <c r="N1" s="144">
        <v>42445</v>
      </c>
      <c r="O1" s="145"/>
      <c r="P1" s="145"/>
      <c r="Q1" s="146"/>
      <c r="R1" s="144">
        <v>42476</v>
      </c>
      <c r="S1" s="145"/>
      <c r="T1" s="145"/>
      <c r="U1" s="145"/>
      <c r="V1" s="146"/>
      <c r="W1" s="144">
        <v>42506</v>
      </c>
      <c r="X1" s="145"/>
      <c r="Y1" s="145"/>
      <c r="Z1" s="146"/>
      <c r="AA1" s="144">
        <v>42537</v>
      </c>
      <c r="AB1" s="145"/>
      <c r="AC1" s="145"/>
      <c r="AD1" s="146"/>
      <c r="AE1" s="144">
        <v>42567</v>
      </c>
      <c r="AF1" s="145"/>
      <c r="AG1" s="145"/>
      <c r="AH1" s="145"/>
      <c r="AI1" s="146"/>
      <c r="AJ1" s="144">
        <v>42598</v>
      </c>
      <c r="AK1" s="145"/>
      <c r="AL1" s="145"/>
      <c r="AM1" s="146"/>
      <c r="AN1" s="144">
        <v>42629</v>
      </c>
      <c r="AO1" s="145"/>
      <c r="AP1" s="145"/>
      <c r="AQ1" s="145"/>
      <c r="AR1" s="146"/>
      <c r="AS1" s="144">
        <v>42659</v>
      </c>
      <c r="AT1" s="145"/>
      <c r="AU1" s="145"/>
      <c r="AV1" s="146"/>
      <c r="AW1" s="144">
        <v>42690</v>
      </c>
      <c r="AX1" s="145"/>
      <c r="AY1" s="145"/>
      <c r="AZ1" s="146"/>
      <c r="BA1" s="144">
        <v>42720</v>
      </c>
      <c r="BB1" s="145"/>
      <c r="BC1" s="145"/>
      <c r="BD1" s="145"/>
      <c r="BE1" s="146"/>
    </row>
    <row r="2" spans="1:57" ht="14.45" x14ac:dyDescent="0.35">
      <c r="B2" s="28" t="s">
        <v>48</v>
      </c>
      <c r="C2" s="28" t="s">
        <v>49</v>
      </c>
      <c r="D2" s="28" t="s">
        <v>50</v>
      </c>
      <c r="E2" s="33" t="s">
        <v>51</v>
      </c>
      <c r="F2" s="35" t="s">
        <v>52</v>
      </c>
      <c r="G2" s="28" t="s">
        <v>53</v>
      </c>
      <c r="H2" s="28" t="s">
        <v>54</v>
      </c>
      <c r="I2" s="36" t="s">
        <v>55</v>
      </c>
      <c r="J2" s="35" t="s">
        <v>56</v>
      </c>
      <c r="K2" s="28" t="s">
        <v>57</v>
      </c>
      <c r="L2" s="28" t="s">
        <v>58</v>
      </c>
      <c r="M2" s="36" t="s">
        <v>59</v>
      </c>
      <c r="N2" s="35" t="s">
        <v>60</v>
      </c>
      <c r="O2" s="28" t="s">
        <v>61</v>
      </c>
      <c r="P2" s="28" t="s">
        <v>62</v>
      </c>
      <c r="Q2" s="36" t="s">
        <v>63</v>
      </c>
      <c r="R2" s="35" t="s">
        <v>64</v>
      </c>
      <c r="S2" s="28" t="s">
        <v>65</v>
      </c>
      <c r="T2" s="28" t="s">
        <v>66</v>
      </c>
      <c r="U2" s="28" t="s">
        <v>67</v>
      </c>
      <c r="V2" s="36" t="s">
        <v>68</v>
      </c>
      <c r="W2" s="35" t="s">
        <v>69</v>
      </c>
      <c r="X2" s="28" t="s">
        <v>70</v>
      </c>
      <c r="Y2" s="28" t="s">
        <v>71</v>
      </c>
      <c r="Z2" s="36" t="s">
        <v>72</v>
      </c>
      <c r="AA2" s="35" t="s">
        <v>73</v>
      </c>
      <c r="AB2" s="28" t="s">
        <v>74</v>
      </c>
      <c r="AC2" s="28" t="s">
        <v>75</v>
      </c>
      <c r="AD2" s="36" t="s">
        <v>76</v>
      </c>
      <c r="AE2" s="35" t="s">
        <v>77</v>
      </c>
      <c r="AF2" s="28" t="s">
        <v>78</v>
      </c>
      <c r="AG2" s="28" t="s">
        <v>79</v>
      </c>
      <c r="AH2" s="28" t="s">
        <v>80</v>
      </c>
      <c r="AI2" s="36" t="s">
        <v>81</v>
      </c>
      <c r="AJ2" s="35" t="s">
        <v>82</v>
      </c>
      <c r="AK2" s="28" t="s">
        <v>83</v>
      </c>
      <c r="AL2" s="28" t="s">
        <v>84</v>
      </c>
      <c r="AM2" s="36" t="s">
        <v>85</v>
      </c>
      <c r="AN2" s="35" t="s">
        <v>86</v>
      </c>
      <c r="AO2" s="28" t="s">
        <v>87</v>
      </c>
      <c r="AP2" s="28" t="s">
        <v>88</v>
      </c>
      <c r="AQ2" s="28" t="s">
        <v>89</v>
      </c>
      <c r="AR2" s="36" t="s">
        <v>90</v>
      </c>
      <c r="AS2" s="35" t="s">
        <v>91</v>
      </c>
      <c r="AT2" s="28" t="s">
        <v>92</v>
      </c>
      <c r="AU2" s="28" t="s">
        <v>93</v>
      </c>
      <c r="AV2" s="36" t="s">
        <v>94</v>
      </c>
      <c r="AW2" s="35" t="s">
        <v>95</v>
      </c>
      <c r="AX2" s="28" t="s">
        <v>96</v>
      </c>
      <c r="AY2" s="28" t="s">
        <v>97</v>
      </c>
      <c r="AZ2" s="36" t="s">
        <v>98</v>
      </c>
      <c r="BA2" s="35" t="s">
        <v>99</v>
      </c>
      <c r="BB2" s="28" t="s">
        <v>100</v>
      </c>
      <c r="BC2" s="28" t="s">
        <v>101</v>
      </c>
      <c r="BD2" s="28" t="s">
        <v>102</v>
      </c>
      <c r="BE2" s="36" t="s">
        <v>103</v>
      </c>
    </row>
    <row r="3" spans="1:57" s="46" customFormat="1" ht="14.45" x14ac:dyDescent="0.35">
      <c r="A3" s="46" t="s">
        <v>109</v>
      </c>
      <c r="B3" s="61">
        <f>'PC% - AAG'!B3*15</f>
        <v>384585</v>
      </c>
      <c r="C3" s="61">
        <f>'PC% - AAG'!C3*15</f>
        <v>385770</v>
      </c>
      <c r="D3" s="61">
        <f>'PC% - AAG'!D3*15</f>
        <v>400125</v>
      </c>
      <c r="E3" s="61">
        <f>'PC% - AAG'!E3*15</f>
        <v>371181.6</v>
      </c>
      <c r="F3" s="61">
        <f>'PC% - AAG'!F3*15</f>
        <v>29865</v>
      </c>
      <c r="G3" s="61">
        <f>'PC% - AAG'!G3*15</f>
        <v>29865</v>
      </c>
      <c r="H3" s="61">
        <f>'PC% - AAG'!H3*15</f>
        <v>29865</v>
      </c>
      <c r="I3" s="61">
        <f>'PC% - AAG'!I3*15</f>
        <v>29865</v>
      </c>
      <c r="J3" s="61">
        <f>'PC% - AAG'!J3*15</f>
        <v>62096.25</v>
      </c>
      <c r="K3" s="61">
        <f>'PC% - AAG'!K3*15</f>
        <v>62096.25</v>
      </c>
      <c r="L3" s="61">
        <f>'PC% - AAG'!L3*15</f>
        <v>62096.25</v>
      </c>
      <c r="M3" s="61">
        <f>'PC% - AAG'!M3*15</f>
        <v>62096.25</v>
      </c>
      <c r="N3" s="61">
        <f>'PC% - AAG'!N3*15</f>
        <v>96082.5</v>
      </c>
      <c r="O3" s="61">
        <f>'PC% - AAG'!O3*15</f>
        <v>96082.5</v>
      </c>
      <c r="P3" s="61">
        <f>'PC% - AAG'!P3*15</f>
        <v>96082.5</v>
      </c>
      <c r="Q3" s="61">
        <f>'PC% - AAG'!Q3*15</f>
        <v>96082.5</v>
      </c>
      <c r="R3" s="61">
        <f>'PC% - AAG'!R3*15</f>
        <v>102852</v>
      </c>
      <c r="S3" s="61">
        <f>'PC% - AAG'!S3*15</f>
        <v>102852</v>
      </c>
      <c r="T3" s="61">
        <f>'PC% - AAG'!T3*15</f>
        <v>102852</v>
      </c>
      <c r="U3" s="61">
        <f>'PC% - AAG'!U3*15</f>
        <v>102852</v>
      </c>
      <c r="V3" s="61">
        <f>'PC% - AAG'!V3*15</f>
        <v>102852</v>
      </c>
      <c r="W3" s="61">
        <f>'PC% - AAG'!W3*15</f>
        <v>160736.25</v>
      </c>
      <c r="X3" s="61">
        <f>'PC% - AAG'!X3*15</f>
        <v>160736.25</v>
      </c>
      <c r="Y3" s="61">
        <f>'PC% - AAG'!Y3*15</f>
        <v>160736.25</v>
      </c>
      <c r="Z3" s="61">
        <f>'PC% - AAG'!Z3*15</f>
        <v>160736.25</v>
      </c>
      <c r="AA3" s="49"/>
      <c r="AB3" s="49"/>
      <c r="AC3" s="49"/>
      <c r="AD3" s="49"/>
      <c r="AE3" s="49"/>
      <c r="AF3" s="47"/>
      <c r="AG3" s="47"/>
      <c r="AH3" s="47"/>
      <c r="AI3" s="50"/>
      <c r="AJ3" s="49"/>
      <c r="AK3" s="47"/>
      <c r="AL3" s="47"/>
      <c r="AM3" s="50"/>
      <c r="AN3" s="49"/>
      <c r="AO3" s="47"/>
      <c r="AP3" s="47"/>
      <c r="AQ3" s="47"/>
      <c r="AR3" s="50"/>
      <c r="AS3" s="49"/>
      <c r="AT3" s="47"/>
      <c r="AU3" s="47"/>
      <c r="AV3" s="50"/>
      <c r="AW3" s="49"/>
      <c r="AX3" s="47"/>
      <c r="AY3" s="47"/>
      <c r="AZ3" s="50"/>
      <c r="BA3" s="49"/>
      <c r="BB3" s="47"/>
      <c r="BC3" s="47"/>
      <c r="BD3" s="47"/>
      <c r="BE3" s="50"/>
    </row>
    <row r="4" spans="1:57" s="42" customFormat="1" thickBot="1" x14ac:dyDescent="0.4">
      <c r="A4" s="42" t="s">
        <v>110</v>
      </c>
      <c r="B4" s="43">
        <v>60849</v>
      </c>
      <c r="C4" s="43">
        <v>61787.5</v>
      </c>
      <c r="D4" s="43">
        <v>64042</v>
      </c>
      <c r="E4" s="51">
        <v>59784</v>
      </c>
      <c r="F4" s="58">
        <v>4815.75</v>
      </c>
      <c r="G4" s="59">
        <v>4815.75</v>
      </c>
      <c r="H4" s="59">
        <v>4815.75</v>
      </c>
      <c r="I4" s="60">
        <v>4815.75</v>
      </c>
      <c r="J4" s="58">
        <v>9927.3799999999992</v>
      </c>
      <c r="K4" s="59">
        <v>9927.3799999999992</v>
      </c>
      <c r="L4" s="59">
        <v>9927.3799999999992</v>
      </c>
      <c r="M4" s="60">
        <v>9927.3799999999992</v>
      </c>
      <c r="N4" s="58">
        <f>15375.75*0.995</f>
        <v>15298.87125</v>
      </c>
      <c r="O4" s="58">
        <f t="shared" ref="O4:Q4" si="0">15375.75*0.995</f>
        <v>15298.87125</v>
      </c>
      <c r="P4" s="58">
        <f t="shared" si="0"/>
        <v>15298.87125</v>
      </c>
      <c r="Q4" s="58">
        <f t="shared" si="0"/>
        <v>15298.87125</v>
      </c>
      <c r="R4" s="58">
        <f>16511.2*0.985</f>
        <v>16263.532000000001</v>
      </c>
      <c r="S4" s="58">
        <f t="shared" ref="S4:V4" si="1">16511.2*0.985</f>
        <v>16263.532000000001</v>
      </c>
      <c r="T4" s="58">
        <f t="shared" si="1"/>
        <v>16263.532000000001</v>
      </c>
      <c r="U4" s="58">
        <f t="shared" si="1"/>
        <v>16263.532000000001</v>
      </c>
      <c r="V4" s="58">
        <f t="shared" si="1"/>
        <v>16263.532000000001</v>
      </c>
      <c r="W4" s="58">
        <f>25796.63*0.98</f>
        <v>25280.697400000001</v>
      </c>
      <c r="X4" s="58">
        <f>25796.63*0.979</f>
        <v>25254.90077</v>
      </c>
      <c r="Y4" s="58">
        <f>25796.63*0.978</f>
        <v>25229.104139999999</v>
      </c>
      <c r="Z4" s="58">
        <f>25796.63*0.976</f>
        <v>25177.510880000002</v>
      </c>
      <c r="AA4" s="58"/>
      <c r="AB4" s="59"/>
      <c r="AC4" s="59"/>
      <c r="AD4" s="60"/>
      <c r="AE4" s="44"/>
      <c r="AF4" s="43"/>
      <c r="AG4" s="43"/>
      <c r="AH4" s="43"/>
      <c r="AI4" s="45"/>
      <c r="AJ4" s="44"/>
      <c r="AK4" s="43"/>
      <c r="AL4" s="43"/>
      <c r="AM4" s="45"/>
      <c r="AN4" s="44"/>
      <c r="AO4" s="43"/>
      <c r="AP4" s="43"/>
      <c r="AQ4" s="43"/>
      <c r="AR4" s="45"/>
      <c r="AS4" s="44"/>
      <c r="AT4" s="43"/>
      <c r="AU4" s="43"/>
      <c r="AV4" s="45"/>
      <c r="AW4" s="44"/>
      <c r="AX4" s="43"/>
      <c r="AY4" s="43"/>
      <c r="AZ4" s="45"/>
      <c r="BA4" s="44"/>
      <c r="BB4" s="43"/>
      <c r="BC4" s="43"/>
      <c r="BD4" s="43"/>
      <c r="BE4" s="45"/>
    </row>
    <row r="6" spans="1:57" ht="14.45" x14ac:dyDescent="0.35">
      <c r="A6" t="s">
        <v>115</v>
      </c>
    </row>
    <row r="7" spans="1:57" ht="14.45" x14ac:dyDescent="0.35">
      <c r="A7" t="s">
        <v>116</v>
      </c>
    </row>
    <row r="8" spans="1:57" thickBot="1" x14ac:dyDescent="0.4"/>
    <row r="9" spans="1:57" s="32" customFormat="1" ht="14.45" x14ac:dyDescent="0.35">
      <c r="A9" s="32" t="s">
        <v>107</v>
      </c>
      <c r="B9" s="139">
        <v>2015</v>
      </c>
      <c r="C9" s="140"/>
      <c r="D9" s="140"/>
      <c r="E9" s="140"/>
      <c r="F9" s="141">
        <v>42385</v>
      </c>
      <c r="G9" s="142"/>
      <c r="H9" s="142"/>
      <c r="I9" s="143"/>
      <c r="J9" s="141">
        <v>42416</v>
      </c>
      <c r="K9" s="142"/>
      <c r="L9" s="142"/>
      <c r="M9" s="143"/>
      <c r="N9" s="144">
        <v>42445</v>
      </c>
      <c r="O9" s="145"/>
      <c r="P9" s="145"/>
      <c r="Q9" s="146"/>
      <c r="R9" s="144">
        <v>42476</v>
      </c>
      <c r="S9" s="145"/>
      <c r="T9" s="145"/>
      <c r="U9" s="145"/>
      <c r="V9" s="146"/>
      <c r="W9" s="144">
        <v>42506</v>
      </c>
      <c r="X9" s="145"/>
      <c r="Y9" s="145"/>
      <c r="Z9" s="146"/>
      <c r="AA9" s="144">
        <v>42537</v>
      </c>
      <c r="AB9" s="145"/>
      <c r="AC9" s="145"/>
      <c r="AD9" s="146"/>
      <c r="AE9" s="144">
        <v>42567</v>
      </c>
      <c r="AF9" s="145"/>
      <c r="AG9" s="145"/>
      <c r="AH9" s="145"/>
      <c r="AI9" s="146"/>
      <c r="AJ9" s="144">
        <v>42598</v>
      </c>
      <c r="AK9" s="145"/>
      <c r="AL9" s="145"/>
      <c r="AM9" s="146"/>
      <c r="AN9" s="144">
        <v>42629</v>
      </c>
      <c r="AO9" s="145"/>
      <c r="AP9" s="145"/>
      <c r="AQ9" s="145"/>
      <c r="AR9" s="146"/>
      <c r="AS9" s="144">
        <v>42659</v>
      </c>
      <c r="AT9" s="145"/>
      <c r="AU9" s="145"/>
      <c r="AV9" s="146"/>
      <c r="AW9" s="144">
        <v>42690</v>
      </c>
      <c r="AX9" s="145"/>
      <c r="AY9" s="145"/>
      <c r="AZ9" s="146"/>
      <c r="BA9" s="144">
        <v>42720</v>
      </c>
      <c r="BB9" s="145"/>
      <c r="BC9" s="145"/>
      <c r="BD9" s="145"/>
      <c r="BE9" s="146"/>
    </row>
    <row r="10" spans="1:57" ht="14.45" x14ac:dyDescent="0.35">
      <c r="B10" s="28" t="s">
        <v>48</v>
      </c>
      <c r="C10" s="28" t="s">
        <v>49</v>
      </c>
      <c r="D10" s="28" t="s">
        <v>50</v>
      </c>
      <c r="E10" s="33" t="s">
        <v>51</v>
      </c>
      <c r="F10" s="35" t="s">
        <v>52</v>
      </c>
      <c r="G10" s="28" t="s">
        <v>53</v>
      </c>
      <c r="H10" s="28" t="s">
        <v>54</v>
      </c>
      <c r="I10" s="36" t="s">
        <v>55</v>
      </c>
      <c r="J10" s="35" t="s">
        <v>56</v>
      </c>
      <c r="K10" s="28" t="s">
        <v>57</v>
      </c>
      <c r="L10" s="28" t="s">
        <v>58</v>
      </c>
      <c r="M10" s="36" t="s">
        <v>59</v>
      </c>
      <c r="N10" s="35" t="s">
        <v>60</v>
      </c>
      <c r="O10" s="28" t="s">
        <v>61</v>
      </c>
      <c r="P10" s="28" t="s">
        <v>62</v>
      </c>
      <c r="Q10" s="36" t="s">
        <v>63</v>
      </c>
      <c r="R10" s="35" t="s">
        <v>64</v>
      </c>
      <c r="S10" s="28" t="s">
        <v>65</v>
      </c>
      <c r="T10" s="28" t="s">
        <v>66</v>
      </c>
      <c r="U10" s="28" t="s">
        <v>67</v>
      </c>
      <c r="V10" s="36" t="s">
        <v>68</v>
      </c>
      <c r="W10" s="35" t="s">
        <v>69</v>
      </c>
      <c r="X10" s="28" t="s">
        <v>70</v>
      </c>
      <c r="Y10" s="28" t="s">
        <v>71</v>
      </c>
      <c r="Z10" s="36" t="s">
        <v>72</v>
      </c>
      <c r="AA10" s="35" t="s">
        <v>73</v>
      </c>
      <c r="AB10" s="28" t="s">
        <v>74</v>
      </c>
      <c r="AC10" s="28" t="s">
        <v>75</v>
      </c>
      <c r="AD10" s="36" t="s">
        <v>76</v>
      </c>
      <c r="AE10" s="35" t="s">
        <v>77</v>
      </c>
      <c r="AF10" s="28" t="s">
        <v>78</v>
      </c>
      <c r="AG10" s="28" t="s">
        <v>79</v>
      </c>
      <c r="AH10" s="28" t="s">
        <v>80</v>
      </c>
      <c r="AI10" s="36" t="s">
        <v>81</v>
      </c>
      <c r="AJ10" s="35" t="s">
        <v>82</v>
      </c>
      <c r="AK10" s="28" t="s">
        <v>83</v>
      </c>
      <c r="AL10" s="28" t="s">
        <v>84</v>
      </c>
      <c r="AM10" s="36" t="s">
        <v>85</v>
      </c>
      <c r="AN10" s="35" t="s">
        <v>86</v>
      </c>
      <c r="AO10" s="28" t="s">
        <v>87</v>
      </c>
      <c r="AP10" s="28" t="s">
        <v>88</v>
      </c>
      <c r="AQ10" s="28" t="s">
        <v>89</v>
      </c>
      <c r="AR10" s="36" t="s">
        <v>90</v>
      </c>
      <c r="AS10" s="35" t="s">
        <v>91</v>
      </c>
      <c r="AT10" s="28" t="s">
        <v>92</v>
      </c>
      <c r="AU10" s="28" t="s">
        <v>93</v>
      </c>
      <c r="AV10" s="36" t="s">
        <v>94</v>
      </c>
      <c r="AW10" s="35" t="s">
        <v>95</v>
      </c>
      <c r="AX10" s="28" t="s">
        <v>96</v>
      </c>
      <c r="AY10" s="28" t="s">
        <v>97</v>
      </c>
      <c r="AZ10" s="36" t="s">
        <v>98</v>
      </c>
      <c r="BA10" s="35" t="s">
        <v>99</v>
      </c>
      <c r="BB10" s="28" t="s">
        <v>100</v>
      </c>
      <c r="BC10" s="28" t="s">
        <v>101</v>
      </c>
      <c r="BD10" s="28" t="s">
        <v>102</v>
      </c>
      <c r="BE10" s="36" t="s">
        <v>103</v>
      </c>
    </row>
    <row r="11" spans="1:57" s="46" customFormat="1" ht="14.45" x14ac:dyDescent="0.35">
      <c r="A11" s="46" t="s">
        <v>104</v>
      </c>
      <c r="B11" s="47">
        <f>B3/B4</f>
        <v>6.3203175072721001</v>
      </c>
      <c r="C11" s="47">
        <f t="shared" ref="C11:E11" si="2">C3/C4</f>
        <v>6.2434958527210194</v>
      </c>
      <c r="D11" s="47">
        <f t="shared" si="2"/>
        <v>6.2478529714874611</v>
      </c>
      <c r="E11" s="47">
        <f t="shared" si="2"/>
        <v>6.2087113608992368</v>
      </c>
      <c r="F11" s="49">
        <f>F3/F4</f>
        <v>6.2015262420183772</v>
      </c>
      <c r="G11" s="49">
        <f t="shared" ref="G11:BE11" si="3">G3/G4</f>
        <v>6.2015262420183772</v>
      </c>
      <c r="H11" s="49">
        <f t="shared" si="3"/>
        <v>6.2015262420183772</v>
      </c>
      <c r="I11" s="49">
        <f t="shared" si="3"/>
        <v>6.2015262420183772</v>
      </c>
      <c r="J11" s="49">
        <f t="shared" si="3"/>
        <v>6.2550491670511255</v>
      </c>
      <c r="K11" s="49">
        <f t="shared" si="3"/>
        <v>6.2550491670511255</v>
      </c>
      <c r="L11" s="49">
        <f t="shared" si="3"/>
        <v>6.2550491670511255</v>
      </c>
      <c r="M11" s="49">
        <f t="shared" si="3"/>
        <v>6.2550491670511255</v>
      </c>
      <c r="N11" s="49">
        <f t="shared" si="3"/>
        <v>6.2803652916550954</v>
      </c>
      <c r="O11" s="49">
        <f t="shared" si="3"/>
        <v>6.2803652916550954</v>
      </c>
      <c r="P11" s="49">
        <f t="shared" si="3"/>
        <v>6.2803652916550954</v>
      </c>
      <c r="Q11" s="49">
        <f t="shared" si="3"/>
        <v>6.2803652916550954</v>
      </c>
      <c r="R11" s="49">
        <f t="shared" si="3"/>
        <v>6.3240875352291246</v>
      </c>
      <c r="S11" s="49">
        <f t="shared" si="3"/>
        <v>6.3240875352291246</v>
      </c>
      <c r="T11" s="49">
        <f t="shared" si="3"/>
        <v>6.3240875352291246</v>
      </c>
      <c r="U11" s="49">
        <f t="shared" si="3"/>
        <v>6.3240875352291246</v>
      </c>
      <c r="V11" s="49">
        <f t="shared" si="3"/>
        <v>6.3240875352291246</v>
      </c>
      <c r="W11" s="49">
        <f t="shared" si="3"/>
        <v>6.3580623373151086</v>
      </c>
      <c r="X11" s="49">
        <f t="shared" si="3"/>
        <v>6.36455678301206</v>
      </c>
      <c r="Y11" s="49">
        <f t="shared" si="3"/>
        <v>6.3710645097840564</v>
      </c>
      <c r="Z11" s="49">
        <f t="shared" si="3"/>
        <v>6.3841199698450888</v>
      </c>
      <c r="AA11" s="49" t="e">
        <f t="shared" si="3"/>
        <v>#DIV/0!</v>
      </c>
      <c r="AB11" s="49" t="e">
        <f t="shared" si="3"/>
        <v>#DIV/0!</v>
      </c>
      <c r="AC11" s="49" t="e">
        <f t="shared" si="3"/>
        <v>#DIV/0!</v>
      </c>
      <c r="AD11" s="49" t="e">
        <f t="shared" si="3"/>
        <v>#DIV/0!</v>
      </c>
      <c r="AE11" s="49" t="e">
        <f t="shared" si="3"/>
        <v>#DIV/0!</v>
      </c>
      <c r="AF11" s="49" t="e">
        <f t="shared" si="3"/>
        <v>#DIV/0!</v>
      </c>
      <c r="AG11" s="49" t="e">
        <f t="shared" si="3"/>
        <v>#DIV/0!</v>
      </c>
      <c r="AH11" s="49" t="e">
        <f t="shared" si="3"/>
        <v>#DIV/0!</v>
      </c>
      <c r="AI11" s="49" t="e">
        <f t="shared" si="3"/>
        <v>#DIV/0!</v>
      </c>
      <c r="AJ11" s="49" t="e">
        <f t="shared" si="3"/>
        <v>#DIV/0!</v>
      </c>
      <c r="AK11" s="49" t="e">
        <f t="shared" si="3"/>
        <v>#DIV/0!</v>
      </c>
      <c r="AL11" s="49" t="e">
        <f t="shared" si="3"/>
        <v>#DIV/0!</v>
      </c>
      <c r="AM11" s="49" t="e">
        <f t="shared" si="3"/>
        <v>#DIV/0!</v>
      </c>
      <c r="AN11" s="49" t="e">
        <f t="shared" si="3"/>
        <v>#DIV/0!</v>
      </c>
      <c r="AO11" s="49" t="e">
        <f t="shared" si="3"/>
        <v>#DIV/0!</v>
      </c>
      <c r="AP11" s="49" t="e">
        <f t="shared" si="3"/>
        <v>#DIV/0!</v>
      </c>
      <c r="AQ11" s="49" t="e">
        <f t="shared" si="3"/>
        <v>#DIV/0!</v>
      </c>
      <c r="AR11" s="49" t="e">
        <f t="shared" si="3"/>
        <v>#DIV/0!</v>
      </c>
      <c r="AS11" s="49" t="e">
        <f t="shared" si="3"/>
        <v>#DIV/0!</v>
      </c>
      <c r="AT11" s="49" t="e">
        <f t="shared" si="3"/>
        <v>#DIV/0!</v>
      </c>
      <c r="AU11" s="49" t="e">
        <f t="shared" si="3"/>
        <v>#DIV/0!</v>
      </c>
      <c r="AV11" s="49" t="e">
        <f t="shared" si="3"/>
        <v>#DIV/0!</v>
      </c>
      <c r="AW11" s="49" t="e">
        <f t="shared" si="3"/>
        <v>#DIV/0!</v>
      </c>
      <c r="AX11" s="49" t="e">
        <f t="shared" si="3"/>
        <v>#DIV/0!</v>
      </c>
      <c r="AY11" s="49" t="e">
        <f t="shared" si="3"/>
        <v>#DIV/0!</v>
      </c>
      <c r="AZ11" s="49" t="e">
        <f t="shared" si="3"/>
        <v>#DIV/0!</v>
      </c>
      <c r="BA11" s="49" t="e">
        <f t="shared" si="3"/>
        <v>#DIV/0!</v>
      </c>
      <c r="BB11" s="49" t="e">
        <f t="shared" si="3"/>
        <v>#DIV/0!</v>
      </c>
      <c r="BC11" s="49" t="e">
        <f t="shared" si="3"/>
        <v>#DIV/0!</v>
      </c>
      <c r="BD11" s="49" t="e">
        <f t="shared" si="3"/>
        <v>#DIV/0!</v>
      </c>
      <c r="BE11" s="49" t="e">
        <f t="shared" si="3"/>
        <v>#DIV/0!</v>
      </c>
    </row>
    <row r="12" spans="1:57" s="46" customFormat="1" ht="14.45" x14ac:dyDescent="0.35">
      <c r="A12" t="s">
        <v>114</v>
      </c>
      <c r="B12" s="30">
        <f>B11/B13-1</f>
        <v>3.2250011543015766E-3</v>
      </c>
      <c r="C12" s="30">
        <f>(AVERAGE($B11:C11))/C13-1</f>
        <v>-2.8719555561016463E-3</v>
      </c>
      <c r="D12" s="30">
        <f>(AVERAGE($B11:D11))/D13-1</f>
        <v>-4.6737390751014907E-3</v>
      </c>
      <c r="E12" s="30">
        <f>(AVERAGE($B11:E11))/E13-1</f>
        <v>-7.1278693500071988E-3</v>
      </c>
      <c r="F12" s="62">
        <f>F11/F13-1</f>
        <v>-7.0642255202498783E-3</v>
      </c>
      <c r="G12" s="30">
        <f>(SUM($F3:G3)/SUM($F4:G4))/G13-1</f>
        <v>-7.0642255202498783E-3</v>
      </c>
      <c r="H12" s="30">
        <f>(SUM($F3:H3)/SUM($F4:H4))/H13-1</f>
        <v>-7.0642255202498783E-3</v>
      </c>
      <c r="I12" s="30">
        <f>(SUM($F3:I3)/SUM($F4:I4))/I13-1</f>
        <v>-7.0642255202498783E-3</v>
      </c>
      <c r="J12" s="30">
        <f>(SUM($F3:J3)/SUM($F4:J4))/J13-1</f>
        <v>-4.1497708195135097E-3</v>
      </c>
      <c r="K12" s="30">
        <f>(SUM($F3:K3)/SUM($F4:K4))/K13-1</f>
        <v>-2.7145879025907149E-3</v>
      </c>
      <c r="L12" s="30">
        <f>(SUM($F3:L3)/SUM($F4:L4))/L13-1</f>
        <v>-1.8604047008611291E-3</v>
      </c>
      <c r="M12" s="30">
        <f>(SUM($F3:M3)/SUM($F4:M4))/M13-1</f>
        <v>-1.2938063346848994E-3</v>
      </c>
      <c r="N12" s="30">
        <f>(SUM($F3:N3)/SUM($F4:N4))/N13-1</f>
        <v>1.1773799381686878E-4</v>
      </c>
      <c r="O12" s="30">
        <f>(SUM($F3:O3)/SUM($F4:O4))/O13-1</f>
        <v>1.0470902567227824E-3</v>
      </c>
      <c r="P12" s="30">
        <f>(SUM($F3:P3)/SUM($F4:P4))/P13-1</f>
        <v>1.7052847421652473E-3</v>
      </c>
      <c r="Q12" s="30">
        <f>(SUM($F3:Q3)/SUM($F4:Q4))/Q13-1</f>
        <v>2.1958866526914367E-3</v>
      </c>
      <c r="R12" s="30">
        <f>(SUM($F3:R3)/SUM($F4:R4))/R13-1</f>
        <v>3.43126726859877E-3</v>
      </c>
      <c r="S12" s="30">
        <f>(SUM($F3:S3)/SUM($F4:S4))/S13-1</f>
        <v>4.4034874260763246E-3</v>
      </c>
      <c r="T12" s="30">
        <f>(SUM($F3:T3)/SUM($F4:T4))/T13-1</f>
        <v>5.1885406261029665E-3</v>
      </c>
      <c r="U12" s="30">
        <f>(SUM($F3:U3)/SUM($F4:U4))/U13-1</f>
        <v>5.8357297638431671E-3</v>
      </c>
      <c r="V12" s="30">
        <f>(SUM($F3:V3)/SUM($F4:V4))/V13-1</f>
        <v>6.3784391982590893E-3</v>
      </c>
      <c r="W12" s="30">
        <f>(SUM($F3:W3)/SUM($F4:W4))/W13-1</f>
        <v>7.6739401448757683E-3</v>
      </c>
      <c r="X12" s="30">
        <f>(SUM($F3:X3)/SUM($F4:X4))/X13-1</f>
        <v>8.8128101668791814E-3</v>
      </c>
      <c r="Y12" s="30">
        <f>(SUM($F3:Y3)/SUM($F4:Y4))/Y13-1</f>
        <v>9.8381699732430494E-3</v>
      </c>
      <c r="Z12" s="30">
        <f>(SUM($F3:Z3)/SUM($F4:Z4))/Z13-1</f>
        <v>1.0864905070296027E-2</v>
      </c>
      <c r="AA12" s="30">
        <f>(SUM($F3:AA3)/SUM($F4:AA4))/AA13-1</f>
        <v>1.0864905070296027E-2</v>
      </c>
      <c r="AB12" s="30">
        <f>(SUM($F3:AB3)/SUM($F4:AB4))/AB13-1</f>
        <v>1.0864905070296027E-2</v>
      </c>
      <c r="AC12" s="30">
        <f>(SUM($F3:AC3)/SUM($F4:AC4))/AC13-1</f>
        <v>1.0864905070296027E-2</v>
      </c>
      <c r="AD12" s="30">
        <f>(SUM($F3:AD3)/SUM($F4:AD4))/AD13-1</f>
        <v>1.0864905070296027E-2</v>
      </c>
      <c r="AE12" s="30">
        <f>(SUM($F3:AE3)/SUM($F4:AE4))/AE13-1</f>
        <v>1.0864905070296027E-2</v>
      </c>
      <c r="AF12" s="30">
        <f>(SUM($F3:AF3)/SUM($F4:AF4))/AF13-1</f>
        <v>1.0864905070296027E-2</v>
      </c>
      <c r="AG12" s="30">
        <f>(SUM($F3:AG3)/SUM($F4:AG4))/AG13-1</f>
        <v>1.0864905070296027E-2</v>
      </c>
      <c r="AH12" s="30">
        <f>(SUM($F3:AH3)/SUM($F4:AH4))/AH13-1</f>
        <v>1.0864905070296027E-2</v>
      </c>
      <c r="AI12" s="30">
        <f>(SUM($F3:AI3)/SUM($F4:AI4))/AI13-1</f>
        <v>1.0864905070296027E-2</v>
      </c>
      <c r="AJ12" s="30">
        <f>(SUM($F3:AJ3)/SUM($F4:AJ4))/AJ13-1</f>
        <v>1.0864905070296027E-2</v>
      </c>
      <c r="AK12" s="30">
        <f>(SUM($F3:AK3)/SUM($F4:AK4))/AK13-1</f>
        <v>1.0864905070296027E-2</v>
      </c>
      <c r="AL12" s="30">
        <f>(SUM($F3:AL3)/SUM($F4:AL4))/AL13-1</f>
        <v>1.0864905070296027E-2</v>
      </c>
      <c r="AM12" s="30">
        <f>(SUM($F3:AM3)/SUM($F4:AM4))/AM13-1</f>
        <v>1.0864905070296027E-2</v>
      </c>
      <c r="AN12" s="30">
        <f>(SUM($F3:AN3)/SUM($F4:AN4))/AN13-1</f>
        <v>1.0864905070296027E-2</v>
      </c>
      <c r="AO12" s="30">
        <f>(SUM($F3:AO3)/SUM($F4:AO4))/AO13-1</f>
        <v>1.0864905070296027E-2</v>
      </c>
      <c r="AP12" s="30">
        <f>(SUM($F3:AP3)/SUM($F4:AP4))/AP13-1</f>
        <v>1.0864905070296027E-2</v>
      </c>
      <c r="AQ12" s="30">
        <f>(SUM($F3:AQ3)/SUM($F4:AQ4))/AQ13-1</f>
        <v>1.0864905070296027E-2</v>
      </c>
      <c r="AR12" s="30">
        <f>(SUM($F3:AR3)/SUM($F4:AR4))/AR13-1</f>
        <v>1.0864905070296027E-2</v>
      </c>
      <c r="AS12" s="30">
        <f>(SUM($F3:AS3)/SUM($F4:AS4))/AS13-1</f>
        <v>1.0864905070296027E-2</v>
      </c>
      <c r="AT12" s="30">
        <f>(SUM($F3:AT3)/SUM($F4:AT4))/AT13-1</f>
        <v>1.0864905070296027E-2</v>
      </c>
      <c r="AU12" s="30">
        <f>(SUM($F3:AU3)/SUM($F4:AU4))/AU13-1</f>
        <v>1.0864905070296027E-2</v>
      </c>
      <c r="AV12" s="30">
        <f>(SUM($F3:AV3)/SUM($F4:AV4))/AV13-1</f>
        <v>1.0864905070296027E-2</v>
      </c>
      <c r="AW12" s="30">
        <f>(SUM($F3:AW3)/SUM($F4:AW4))/AW13-1</f>
        <v>1.0864905070296027E-2</v>
      </c>
      <c r="AX12" s="30">
        <f>(SUM($F3:AX3)/SUM($F4:AX4))/AX13-1</f>
        <v>1.0864905070296027E-2</v>
      </c>
      <c r="AY12" s="30">
        <f>(SUM($F3:AY3)/SUM($F4:AY4))/AY13-1</f>
        <v>1.0864905070296027E-2</v>
      </c>
      <c r="AZ12" s="30">
        <f>(SUM($F3:AZ3)/SUM($F4:AZ4))/AZ13-1</f>
        <v>1.0864905070296027E-2</v>
      </c>
      <c r="BA12" s="30">
        <f>(SUM($F3:BA3)/SUM($F4:BA4))/BA13-1</f>
        <v>1.0864905070296027E-2</v>
      </c>
      <c r="BB12" s="30">
        <f>(SUM($F3:BB3)/SUM($F4:BB4))/BB13-1</f>
        <v>1.0864905070296027E-2</v>
      </c>
      <c r="BC12" s="30">
        <f>(SUM($F3:BC3)/SUM($F4:BC4))/BC13-1</f>
        <v>1.0864905070296027E-2</v>
      </c>
      <c r="BD12" s="30">
        <f>(SUM($F3:BD3)/SUM($F4:BD4))/BD13-1</f>
        <v>1.0864905070296027E-2</v>
      </c>
      <c r="BE12" s="30">
        <f>(SUM($F3:BE3)/SUM($F4:BE4))/BE13-1</f>
        <v>1.0864905070296027E-2</v>
      </c>
    </row>
    <row r="13" spans="1:57" s="46" customFormat="1" ht="14.45" x14ac:dyDescent="0.35">
      <c r="A13" s="46" t="s">
        <v>47</v>
      </c>
      <c r="B13" s="47">
        <v>6.3</v>
      </c>
      <c r="C13" s="47">
        <f>B13</f>
        <v>6.3</v>
      </c>
      <c r="D13" s="47">
        <f>C13</f>
        <v>6.3</v>
      </c>
      <c r="E13" s="48">
        <f>D13</f>
        <v>6.3</v>
      </c>
      <c r="F13" s="49">
        <f>AVERAGE(F11:Q11)</f>
        <v>6.2456469002415327</v>
      </c>
      <c r="G13" s="47">
        <f>F13</f>
        <v>6.2456469002415327</v>
      </c>
      <c r="H13" s="47">
        <f t="shared" ref="H13:BE13" si="4">G13</f>
        <v>6.2456469002415327</v>
      </c>
      <c r="I13" s="50">
        <f t="shared" si="4"/>
        <v>6.2456469002415327</v>
      </c>
      <c r="J13" s="49">
        <f t="shared" si="4"/>
        <v>6.2456469002415327</v>
      </c>
      <c r="K13" s="47">
        <f t="shared" si="4"/>
        <v>6.2456469002415327</v>
      </c>
      <c r="L13" s="47">
        <f t="shared" si="4"/>
        <v>6.2456469002415327</v>
      </c>
      <c r="M13" s="50">
        <f t="shared" si="4"/>
        <v>6.2456469002415327</v>
      </c>
      <c r="N13" s="49">
        <f t="shared" si="4"/>
        <v>6.2456469002415327</v>
      </c>
      <c r="O13" s="47">
        <f t="shared" si="4"/>
        <v>6.2456469002415327</v>
      </c>
      <c r="P13" s="47">
        <f t="shared" si="4"/>
        <v>6.2456469002415327</v>
      </c>
      <c r="Q13" s="50">
        <f t="shared" si="4"/>
        <v>6.2456469002415327</v>
      </c>
      <c r="R13" s="49">
        <f t="shared" si="4"/>
        <v>6.2456469002415327</v>
      </c>
      <c r="S13" s="47">
        <f t="shared" si="4"/>
        <v>6.2456469002415327</v>
      </c>
      <c r="T13" s="47">
        <f t="shared" si="4"/>
        <v>6.2456469002415327</v>
      </c>
      <c r="U13" s="47">
        <f t="shared" si="4"/>
        <v>6.2456469002415327</v>
      </c>
      <c r="V13" s="50">
        <f t="shared" si="4"/>
        <v>6.2456469002415327</v>
      </c>
      <c r="W13" s="49">
        <f t="shared" si="4"/>
        <v>6.2456469002415327</v>
      </c>
      <c r="X13" s="47">
        <f t="shared" si="4"/>
        <v>6.2456469002415327</v>
      </c>
      <c r="Y13" s="47">
        <f t="shared" si="4"/>
        <v>6.2456469002415327</v>
      </c>
      <c r="Z13" s="50">
        <f t="shared" si="4"/>
        <v>6.2456469002415327</v>
      </c>
      <c r="AA13" s="49">
        <f t="shared" si="4"/>
        <v>6.2456469002415327</v>
      </c>
      <c r="AB13" s="47">
        <f t="shared" si="4"/>
        <v>6.2456469002415327</v>
      </c>
      <c r="AC13" s="47">
        <f t="shared" si="4"/>
        <v>6.2456469002415327</v>
      </c>
      <c r="AD13" s="50">
        <f t="shared" si="4"/>
        <v>6.2456469002415327</v>
      </c>
      <c r="AE13" s="49">
        <f t="shared" si="4"/>
        <v>6.2456469002415327</v>
      </c>
      <c r="AF13" s="47">
        <f t="shared" si="4"/>
        <v>6.2456469002415327</v>
      </c>
      <c r="AG13" s="47">
        <f t="shared" si="4"/>
        <v>6.2456469002415327</v>
      </c>
      <c r="AH13" s="47">
        <f t="shared" si="4"/>
        <v>6.2456469002415327</v>
      </c>
      <c r="AI13" s="50">
        <f t="shared" si="4"/>
        <v>6.2456469002415327</v>
      </c>
      <c r="AJ13" s="49">
        <f t="shared" si="4"/>
        <v>6.2456469002415327</v>
      </c>
      <c r="AK13" s="47">
        <f t="shared" si="4"/>
        <v>6.2456469002415327</v>
      </c>
      <c r="AL13" s="47">
        <f t="shared" si="4"/>
        <v>6.2456469002415327</v>
      </c>
      <c r="AM13" s="50">
        <f t="shared" si="4"/>
        <v>6.2456469002415327</v>
      </c>
      <c r="AN13" s="49">
        <f t="shared" si="4"/>
        <v>6.2456469002415327</v>
      </c>
      <c r="AO13" s="47">
        <f t="shared" si="4"/>
        <v>6.2456469002415327</v>
      </c>
      <c r="AP13" s="47">
        <f t="shared" si="4"/>
        <v>6.2456469002415327</v>
      </c>
      <c r="AQ13" s="47">
        <f t="shared" si="4"/>
        <v>6.2456469002415327</v>
      </c>
      <c r="AR13" s="50">
        <f t="shared" si="4"/>
        <v>6.2456469002415327</v>
      </c>
      <c r="AS13" s="49">
        <f t="shared" si="4"/>
        <v>6.2456469002415327</v>
      </c>
      <c r="AT13" s="47">
        <f t="shared" si="4"/>
        <v>6.2456469002415327</v>
      </c>
      <c r="AU13" s="47">
        <f t="shared" si="4"/>
        <v>6.2456469002415327</v>
      </c>
      <c r="AV13" s="50">
        <f t="shared" si="4"/>
        <v>6.2456469002415327</v>
      </c>
      <c r="AW13" s="49">
        <f t="shared" si="4"/>
        <v>6.2456469002415327</v>
      </c>
      <c r="AX13" s="47">
        <f t="shared" si="4"/>
        <v>6.2456469002415327</v>
      </c>
      <c r="AY13" s="47">
        <f t="shared" si="4"/>
        <v>6.2456469002415327</v>
      </c>
      <c r="AZ13" s="50">
        <f t="shared" si="4"/>
        <v>6.2456469002415327</v>
      </c>
      <c r="BA13" s="49">
        <f t="shared" si="4"/>
        <v>6.2456469002415327</v>
      </c>
      <c r="BB13" s="47">
        <f t="shared" si="4"/>
        <v>6.2456469002415327</v>
      </c>
      <c r="BC13" s="47">
        <f t="shared" si="4"/>
        <v>6.2456469002415327</v>
      </c>
      <c r="BD13" s="47">
        <f t="shared" si="4"/>
        <v>6.2456469002415327</v>
      </c>
      <c r="BE13" s="50">
        <f t="shared" si="4"/>
        <v>6.2456469002415327</v>
      </c>
    </row>
    <row r="14" spans="1:57" thickBot="1" x14ac:dyDescent="0.4">
      <c r="A14" t="s">
        <v>105</v>
      </c>
      <c r="B14" s="29">
        <f>B11/B13-1</f>
        <v>3.2250011543015766E-3</v>
      </c>
      <c r="C14" s="29">
        <f t="shared" ref="C14:E14" si="5">C11/C13-1</f>
        <v>-8.9689122665048693E-3</v>
      </c>
      <c r="D14" s="29">
        <f t="shared" si="5"/>
        <v>-8.2773061131014014E-3</v>
      </c>
      <c r="E14" s="34">
        <f t="shared" si="5"/>
        <v>-1.4490260174724323E-2</v>
      </c>
      <c r="F14" s="39">
        <f>F11/F13-1</f>
        <v>-7.0642255202498783E-3</v>
      </c>
      <c r="G14" s="40">
        <f t="shared" ref="G14:BE14" si="6">G11/G13-1</f>
        <v>-7.0642255202498783E-3</v>
      </c>
      <c r="H14" s="40">
        <f t="shared" si="6"/>
        <v>-7.0642255202498783E-3</v>
      </c>
      <c r="I14" s="41">
        <f t="shared" si="6"/>
        <v>-7.0642255202498783E-3</v>
      </c>
      <c r="J14" s="39">
        <f t="shared" si="6"/>
        <v>1.5054112023573651E-3</v>
      </c>
      <c r="K14" s="40">
        <f t="shared" si="6"/>
        <v>1.5054112023573651E-3</v>
      </c>
      <c r="L14" s="40">
        <f t="shared" si="6"/>
        <v>1.5054112023573651E-3</v>
      </c>
      <c r="M14" s="41">
        <f t="shared" si="6"/>
        <v>1.5054112023573651E-3</v>
      </c>
      <c r="N14" s="39">
        <f t="shared" si="6"/>
        <v>5.5588143178924021E-3</v>
      </c>
      <c r="O14" s="40">
        <f t="shared" si="6"/>
        <v>5.5588143178924021E-3</v>
      </c>
      <c r="P14" s="40">
        <f t="shared" si="6"/>
        <v>5.5588143178924021E-3</v>
      </c>
      <c r="Q14" s="41">
        <f t="shared" si="6"/>
        <v>5.5588143178924021E-3</v>
      </c>
      <c r="R14" s="39">
        <f t="shared" si="6"/>
        <v>1.2559249064265643E-2</v>
      </c>
      <c r="S14" s="40">
        <f t="shared" si="6"/>
        <v>1.2559249064265643E-2</v>
      </c>
      <c r="T14" s="40">
        <f t="shared" si="6"/>
        <v>1.2559249064265643E-2</v>
      </c>
      <c r="U14" s="40">
        <f t="shared" si="6"/>
        <v>1.2559249064265643E-2</v>
      </c>
      <c r="V14" s="41">
        <f t="shared" si="6"/>
        <v>1.2559249064265643E-2</v>
      </c>
      <c r="W14" s="39">
        <f t="shared" si="6"/>
        <v>1.7999006166875775E-2</v>
      </c>
      <c r="X14" s="40">
        <f t="shared" si="6"/>
        <v>1.9038841719650978E-2</v>
      </c>
      <c r="Y14" s="40">
        <f t="shared" si="6"/>
        <v>2.0080803725499363E-2</v>
      </c>
      <c r="Z14" s="41">
        <f t="shared" si="6"/>
        <v>2.2171133241330132E-2</v>
      </c>
      <c r="AA14" s="39" t="e">
        <f t="shared" si="6"/>
        <v>#DIV/0!</v>
      </c>
      <c r="AB14" s="40" t="e">
        <f t="shared" si="6"/>
        <v>#DIV/0!</v>
      </c>
      <c r="AC14" s="40" t="e">
        <f t="shared" si="6"/>
        <v>#DIV/0!</v>
      </c>
      <c r="AD14" s="41" t="e">
        <f t="shared" si="6"/>
        <v>#DIV/0!</v>
      </c>
      <c r="AE14" s="39" t="e">
        <f t="shared" si="6"/>
        <v>#DIV/0!</v>
      </c>
      <c r="AF14" s="40" t="e">
        <f t="shared" si="6"/>
        <v>#DIV/0!</v>
      </c>
      <c r="AG14" s="40" t="e">
        <f t="shared" si="6"/>
        <v>#DIV/0!</v>
      </c>
      <c r="AH14" s="40" t="e">
        <f t="shared" si="6"/>
        <v>#DIV/0!</v>
      </c>
      <c r="AI14" s="41" t="e">
        <f t="shared" si="6"/>
        <v>#DIV/0!</v>
      </c>
      <c r="AJ14" s="39" t="e">
        <f t="shared" si="6"/>
        <v>#DIV/0!</v>
      </c>
      <c r="AK14" s="40" t="e">
        <f t="shared" si="6"/>
        <v>#DIV/0!</v>
      </c>
      <c r="AL14" s="40" t="e">
        <f t="shared" si="6"/>
        <v>#DIV/0!</v>
      </c>
      <c r="AM14" s="41" t="e">
        <f t="shared" si="6"/>
        <v>#DIV/0!</v>
      </c>
      <c r="AN14" s="39" t="e">
        <f t="shared" si="6"/>
        <v>#DIV/0!</v>
      </c>
      <c r="AO14" s="40" t="e">
        <f t="shared" si="6"/>
        <v>#DIV/0!</v>
      </c>
      <c r="AP14" s="40" t="e">
        <f t="shared" si="6"/>
        <v>#DIV/0!</v>
      </c>
      <c r="AQ14" s="40" t="e">
        <f t="shared" si="6"/>
        <v>#DIV/0!</v>
      </c>
      <c r="AR14" s="41" t="e">
        <f t="shared" si="6"/>
        <v>#DIV/0!</v>
      </c>
      <c r="AS14" s="39" t="e">
        <f t="shared" si="6"/>
        <v>#DIV/0!</v>
      </c>
      <c r="AT14" s="40" t="e">
        <f t="shared" si="6"/>
        <v>#DIV/0!</v>
      </c>
      <c r="AU14" s="40" t="e">
        <f t="shared" si="6"/>
        <v>#DIV/0!</v>
      </c>
      <c r="AV14" s="41" t="e">
        <f t="shared" si="6"/>
        <v>#DIV/0!</v>
      </c>
      <c r="AW14" s="39" t="e">
        <f t="shared" si="6"/>
        <v>#DIV/0!</v>
      </c>
      <c r="AX14" s="40" t="e">
        <f t="shared" si="6"/>
        <v>#DIV/0!</v>
      </c>
      <c r="AY14" s="40" t="e">
        <f t="shared" si="6"/>
        <v>#DIV/0!</v>
      </c>
      <c r="AZ14" s="41" t="e">
        <f t="shared" si="6"/>
        <v>#DIV/0!</v>
      </c>
      <c r="BA14" s="39" t="e">
        <f t="shared" si="6"/>
        <v>#DIV/0!</v>
      </c>
      <c r="BB14" s="40" t="e">
        <f t="shared" si="6"/>
        <v>#DIV/0!</v>
      </c>
      <c r="BC14" s="40" t="e">
        <f t="shared" si="6"/>
        <v>#DIV/0!</v>
      </c>
      <c r="BD14" s="40" t="e">
        <f t="shared" si="6"/>
        <v>#DIV/0!</v>
      </c>
      <c r="BE14" s="41" t="e">
        <f t="shared" si="6"/>
        <v>#DIV/0!</v>
      </c>
    </row>
    <row r="17" spans="1:17" ht="14.45" x14ac:dyDescent="0.35">
      <c r="B17" s="28" t="s">
        <v>48</v>
      </c>
      <c r="C17" s="28" t="s">
        <v>49</v>
      </c>
      <c r="D17" s="28" t="s">
        <v>50</v>
      </c>
      <c r="E17" s="28" t="s">
        <v>51</v>
      </c>
      <c r="F17" s="31">
        <v>42385</v>
      </c>
      <c r="G17" s="31">
        <v>42416</v>
      </c>
      <c r="H17" s="31">
        <v>42445</v>
      </c>
      <c r="I17" s="31">
        <v>42476</v>
      </c>
      <c r="J17" s="31">
        <v>42506</v>
      </c>
      <c r="K17" s="31">
        <v>42537</v>
      </c>
      <c r="L17" s="31">
        <v>42567</v>
      </c>
      <c r="M17" s="31">
        <v>42598</v>
      </c>
      <c r="N17" s="31">
        <v>42629</v>
      </c>
      <c r="O17" s="31">
        <v>42659</v>
      </c>
      <c r="P17" s="31">
        <v>42690</v>
      </c>
      <c r="Q17" s="31">
        <v>42720</v>
      </c>
    </row>
    <row r="18" spans="1:17" s="46" customFormat="1" ht="14.45" x14ac:dyDescent="0.35">
      <c r="A18" s="46" t="s">
        <v>106</v>
      </c>
      <c r="B18" s="47">
        <f>B11</f>
        <v>6.3203175072721001</v>
      </c>
      <c r="C18" s="47">
        <f t="shared" ref="C18:E18" si="7">C11</f>
        <v>6.2434958527210194</v>
      </c>
      <c r="D18" s="47">
        <f t="shared" si="7"/>
        <v>6.2478529714874611</v>
      </c>
      <c r="E18" s="47">
        <f t="shared" si="7"/>
        <v>6.2087113608992368</v>
      </c>
      <c r="F18" s="47">
        <f>SUM(F3:I3)/SUM(F4:I4)</f>
        <v>6.2015262420183772</v>
      </c>
      <c r="G18" s="47">
        <f>SUM(J3:M3)/SUM(J4:M4)</f>
        <v>6.2550491670511255</v>
      </c>
      <c r="H18" s="47">
        <f>SUM(N3:Q3)/SUM(N4:Q4)</f>
        <v>6.2803652916550954</v>
      </c>
      <c r="I18" s="47">
        <f>SUM(R3:V3)/SUM(R4:V4)</f>
        <v>6.3240875352291246</v>
      </c>
      <c r="J18" s="47">
        <f>SUM(W3:Z3)/SUM(W4:Z4)</f>
        <v>6.3694363307629001</v>
      </c>
      <c r="K18" s="47" t="e">
        <f>SUM(AA3:AD3)/SUM(AA4:AD4)</f>
        <v>#DIV/0!</v>
      </c>
      <c r="L18" s="47" t="e">
        <f>SUM(AE3:AI3)/SUM(AE4:AI4)</f>
        <v>#DIV/0!</v>
      </c>
      <c r="M18" s="47" t="e">
        <f>SUM(AJ3:AM3)/SUM(AJ4:AM5)</f>
        <v>#DIV/0!</v>
      </c>
      <c r="N18" s="47" t="e">
        <f>SUM(AN3:AR3)/SUM(AN4:AR4)</f>
        <v>#DIV/0!</v>
      </c>
      <c r="O18" s="47" t="e">
        <f>SUM(AS3:AV3)/SUM(AS4:AV4)</f>
        <v>#DIV/0!</v>
      </c>
      <c r="P18" s="47" t="e">
        <f>SUM(AW3:AZ3)/SUM(AW4:AZ4)</f>
        <v>#DIV/0!</v>
      </c>
      <c r="Q18" s="47" t="e">
        <f>SUM(BA3:BE3)/SUM(BA4:BE4)</f>
        <v>#DIV/0!</v>
      </c>
    </row>
    <row r="19" spans="1:17" s="46" customFormat="1" ht="14.45" x14ac:dyDescent="0.35">
      <c r="A19" t="s">
        <v>114</v>
      </c>
      <c r="B19" s="30">
        <f>B18/B20-1</f>
        <v>3.2250011543015766E-3</v>
      </c>
      <c r="C19" s="30">
        <f>(AVERAGE($B18:C18))/C20-1</f>
        <v>-2.8719555561016463E-3</v>
      </c>
      <c r="D19" s="30">
        <f>(AVERAGE($B18:D18))/D20-1</f>
        <v>-4.6737390751014907E-3</v>
      </c>
      <c r="E19" s="30">
        <f>(AVERAGE($B18:E18))/E20-1</f>
        <v>-7.1278693500071988E-3</v>
      </c>
      <c r="F19" s="30">
        <f>F18/F20-1</f>
        <v>-7.0642255202498783E-3</v>
      </c>
      <c r="G19" s="30">
        <f>(SUM($F3:M3)/SUM($F4:M4))/G20-1</f>
        <v>-1.2938063346848994E-3</v>
      </c>
      <c r="H19" s="30">
        <f>(SUM($F3:N3)/SUM($F4:N4))/H20-1</f>
        <v>1.1773799381686878E-4</v>
      </c>
      <c r="I19" s="30">
        <f>(SUM($F3:O3)/SUM($F4:O4))/I20-1</f>
        <v>1.0470902567227824E-3</v>
      </c>
      <c r="J19" s="30">
        <f>(SUM($F3:P3)/SUM($F4:P4))/J20-1</f>
        <v>1.7052847421652473E-3</v>
      </c>
      <c r="K19" s="30">
        <f>(SUM($F3:Q3)/SUM($F4:Q4))/K20-1</f>
        <v>2.1958866526914367E-3</v>
      </c>
      <c r="L19" s="30">
        <f>(SUM($F3:R3)/SUM($F4:R4))/L20-1</f>
        <v>3.43126726859877E-3</v>
      </c>
      <c r="M19" s="30">
        <f>(SUM($F3:S3)/SUM($F4:S4))/M20-1</f>
        <v>4.4034874260763246E-3</v>
      </c>
      <c r="N19" s="30">
        <f>(SUM($F3:T3)/SUM($F4:T4))/N20-1</f>
        <v>5.1885406261029665E-3</v>
      </c>
      <c r="O19" s="30">
        <f>(SUM($F3:U3)/SUM($F4:U4))/O20-1</f>
        <v>5.8357297638431671E-3</v>
      </c>
      <c r="P19" s="30">
        <f>(SUM($F3:V3)/SUM($F4:V4))/P20-1</f>
        <v>6.3784391982590893E-3</v>
      </c>
      <c r="Q19" s="30">
        <f>(SUM($F3:W3)/SUM($F4:W4))/Q20-1</f>
        <v>7.6739401448757683E-3</v>
      </c>
    </row>
    <row r="20" spans="1:17" s="46" customFormat="1" ht="14.45" x14ac:dyDescent="0.35">
      <c r="A20" s="46" t="s">
        <v>47</v>
      </c>
      <c r="B20" s="47">
        <f>B13</f>
        <v>6.3</v>
      </c>
      <c r="C20" s="47">
        <f t="shared" ref="C20:E20" si="8">C13</f>
        <v>6.3</v>
      </c>
      <c r="D20" s="47">
        <f t="shared" si="8"/>
        <v>6.3</v>
      </c>
      <c r="E20" s="47">
        <f t="shared" si="8"/>
        <v>6.3</v>
      </c>
      <c r="F20" s="47">
        <f>F13</f>
        <v>6.2456469002415327</v>
      </c>
      <c r="G20" s="47">
        <f>F20</f>
        <v>6.2456469002415327</v>
      </c>
      <c r="H20" s="47">
        <f t="shared" ref="H20:Q20" si="9">G20</f>
        <v>6.2456469002415327</v>
      </c>
      <c r="I20" s="47">
        <f t="shared" si="9"/>
        <v>6.2456469002415327</v>
      </c>
      <c r="J20" s="47">
        <f t="shared" si="9"/>
        <v>6.2456469002415327</v>
      </c>
      <c r="K20" s="47">
        <f t="shared" si="9"/>
        <v>6.2456469002415327</v>
      </c>
      <c r="L20" s="47">
        <f t="shared" si="9"/>
        <v>6.2456469002415327</v>
      </c>
      <c r="M20" s="47">
        <f t="shared" si="9"/>
        <v>6.2456469002415327</v>
      </c>
      <c r="N20" s="47">
        <f t="shared" si="9"/>
        <v>6.2456469002415327</v>
      </c>
      <c r="O20" s="47">
        <f t="shared" si="9"/>
        <v>6.2456469002415327</v>
      </c>
      <c r="P20" s="47">
        <f t="shared" si="9"/>
        <v>6.2456469002415327</v>
      </c>
      <c r="Q20" s="47">
        <f t="shared" si="9"/>
        <v>6.2456469002415327</v>
      </c>
    </row>
    <row r="21" spans="1:17" ht="14.45" x14ac:dyDescent="0.35">
      <c r="A21" t="s">
        <v>105</v>
      </c>
      <c r="B21" s="29">
        <f>B18/B20-1</f>
        <v>3.2250011543015766E-3</v>
      </c>
      <c r="C21" s="29">
        <f t="shared" ref="C21:E21" si="10">C18/C20-1</f>
        <v>-8.9689122665048693E-3</v>
      </c>
      <c r="D21" s="29">
        <f t="shared" si="10"/>
        <v>-8.2773061131014014E-3</v>
      </c>
      <c r="E21" s="29">
        <f t="shared" si="10"/>
        <v>-1.4490260174724323E-2</v>
      </c>
      <c r="F21" s="30">
        <f>F18/F20-1</f>
        <v>-7.0642255202498783E-3</v>
      </c>
      <c r="G21" s="30">
        <f t="shared" ref="G21:Q21" si="11">G18/G20-1</f>
        <v>1.5054112023573651E-3</v>
      </c>
      <c r="H21" s="30">
        <f t="shared" si="11"/>
        <v>5.5588143178924021E-3</v>
      </c>
      <c r="I21" s="30">
        <f t="shared" si="11"/>
        <v>1.2559249064265643E-2</v>
      </c>
      <c r="J21" s="30">
        <f t="shared" si="11"/>
        <v>1.9820113512433846E-2</v>
      </c>
      <c r="K21" s="30" t="e">
        <f t="shared" si="11"/>
        <v>#DIV/0!</v>
      </c>
      <c r="L21" s="30" t="e">
        <f t="shared" si="11"/>
        <v>#DIV/0!</v>
      </c>
      <c r="M21" s="30" t="e">
        <f t="shared" si="11"/>
        <v>#DIV/0!</v>
      </c>
      <c r="N21" s="30" t="e">
        <f t="shared" si="11"/>
        <v>#DIV/0!</v>
      </c>
      <c r="O21" s="30" t="e">
        <f t="shared" si="11"/>
        <v>#DIV/0!</v>
      </c>
      <c r="P21" s="30" t="e">
        <f t="shared" si="11"/>
        <v>#DIV/0!</v>
      </c>
      <c r="Q21" s="30" t="e">
        <f t="shared" si="11"/>
        <v>#DIV/0!</v>
      </c>
    </row>
  </sheetData>
  <mergeCells count="26">
    <mergeCell ref="AN1:AR1"/>
    <mergeCell ref="AS1:AV1"/>
    <mergeCell ref="AW1:AZ1"/>
    <mergeCell ref="BA1:BE1"/>
    <mergeCell ref="BA9:BE9"/>
    <mergeCell ref="AN9:AR9"/>
    <mergeCell ref="AS9:AV9"/>
    <mergeCell ref="AW9:AZ9"/>
    <mergeCell ref="B1:E1"/>
    <mergeCell ref="F1:I1"/>
    <mergeCell ref="J1:M1"/>
    <mergeCell ref="N1:Q1"/>
    <mergeCell ref="R1:V1"/>
    <mergeCell ref="W1:Z1"/>
    <mergeCell ref="AA1:AD1"/>
    <mergeCell ref="AE1:AI1"/>
    <mergeCell ref="AJ1:AM1"/>
    <mergeCell ref="AA9:AD9"/>
    <mergeCell ref="AE9:AI9"/>
    <mergeCell ref="AJ9:AM9"/>
    <mergeCell ref="W9:Z9"/>
    <mergeCell ref="B9:E9"/>
    <mergeCell ref="F9:I9"/>
    <mergeCell ref="J9:M9"/>
    <mergeCell ref="N9:Q9"/>
    <mergeCell ref="R9:V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70"/>
  <sheetViews>
    <sheetView topLeftCell="A49" zoomScale="80" zoomScaleNormal="80" workbookViewId="0">
      <selection activeCell="P80" sqref="P80"/>
    </sheetView>
  </sheetViews>
  <sheetFormatPr defaultRowHeight="15" x14ac:dyDescent="0.25"/>
  <cols>
    <col min="1" max="1" width="25.5703125" bestFit="1" customWidth="1"/>
    <col min="2" max="3" width="9.140625" customWidth="1"/>
  </cols>
  <sheetData>
    <row r="2" spans="1:15" x14ac:dyDescent="0.35">
      <c r="B2" s="1" t="s">
        <v>10</v>
      </c>
      <c r="C2" s="1" t="s">
        <v>11</v>
      </c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6</v>
      </c>
      <c r="K2" s="1" t="s">
        <v>7</v>
      </c>
      <c r="L2" s="1" t="s">
        <v>8</v>
      </c>
      <c r="M2" s="1" t="s">
        <v>9</v>
      </c>
      <c r="N2" s="1" t="s">
        <v>10</v>
      </c>
      <c r="O2" s="1" t="s">
        <v>11</v>
      </c>
    </row>
    <row r="4" spans="1:15" x14ac:dyDescent="0.35">
      <c r="A4" s="6" t="s">
        <v>12</v>
      </c>
      <c r="B4" s="7">
        <v>11078.77124</v>
      </c>
      <c r="C4" s="7">
        <v>14037.046759999999</v>
      </c>
      <c r="D4" s="7">
        <v>12067.393</v>
      </c>
      <c r="E4" s="7">
        <v>11859.766609999999</v>
      </c>
      <c r="F4" s="7">
        <v>14340.158009999999</v>
      </c>
      <c r="G4" s="7">
        <v>14473.800939999999</v>
      </c>
    </row>
    <row r="5" spans="1:15" x14ac:dyDescent="0.35">
      <c r="A5" s="6" t="s">
        <v>13</v>
      </c>
      <c r="B5" s="7">
        <v>1657.2063799999999</v>
      </c>
      <c r="C5" s="7">
        <v>1846.2617600000001</v>
      </c>
      <c r="D5" s="7">
        <v>1536.25649</v>
      </c>
      <c r="E5" s="7">
        <v>1642.9431399999999</v>
      </c>
      <c r="F5" s="7">
        <v>2870.6532200000001</v>
      </c>
      <c r="G5" s="7">
        <v>1970.8760400000001</v>
      </c>
    </row>
    <row r="6" spans="1:15" x14ac:dyDescent="0.35">
      <c r="A6" s="8" t="s">
        <v>14</v>
      </c>
      <c r="B6" s="9">
        <v>12735.97762</v>
      </c>
      <c r="C6" s="9">
        <v>15883.308519999999</v>
      </c>
      <c r="D6" s="9">
        <v>13603.64949</v>
      </c>
      <c r="E6" s="9">
        <v>13502.709749999998</v>
      </c>
      <c r="F6" s="9">
        <v>17210.811229999999</v>
      </c>
      <c r="G6" s="9">
        <v>16444.67698</v>
      </c>
    </row>
    <row r="7" spans="1:15" x14ac:dyDescent="0.35">
      <c r="A7" s="6"/>
      <c r="B7" s="10"/>
      <c r="C7" s="10"/>
      <c r="D7" s="10"/>
      <c r="E7" s="10"/>
      <c r="F7" s="10"/>
      <c r="G7" s="10"/>
    </row>
    <row r="8" spans="1:15" x14ac:dyDescent="0.35">
      <c r="A8" s="6" t="s">
        <v>15</v>
      </c>
      <c r="B8" s="7">
        <v>-3657.3427499999998</v>
      </c>
      <c r="C8" s="7">
        <v>-4617.6732499999998</v>
      </c>
      <c r="D8" s="7">
        <v>-3690.9639999999999</v>
      </c>
      <c r="E8" s="7">
        <v>-3741.1030000000001</v>
      </c>
      <c r="F8" s="7">
        <v>-4920.3602499999997</v>
      </c>
      <c r="G8" s="7">
        <v>-4687.7775099999999</v>
      </c>
    </row>
    <row r="9" spans="1:15" x14ac:dyDescent="0.35">
      <c r="A9" s="6" t="s">
        <v>16</v>
      </c>
      <c r="B9" s="7">
        <v>-1339.0792300000001</v>
      </c>
      <c r="C9" s="7">
        <v>-1487.85877</v>
      </c>
      <c r="D9" s="7">
        <v>-1333.037</v>
      </c>
      <c r="E9" s="7">
        <v>-1413.1859999999999</v>
      </c>
      <c r="F9" s="7">
        <v>-1593.8992900000001</v>
      </c>
      <c r="G9" s="7">
        <v>-1533.761</v>
      </c>
    </row>
    <row r="10" spans="1:15" x14ac:dyDescent="0.35">
      <c r="A10" s="6" t="s">
        <v>17</v>
      </c>
      <c r="B10" s="7">
        <v>1.2957700000000201</v>
      </c>
      <c r="C10" s="7">
        <v>-322.17977000000002</v>
      </c>
      <c r="D10" s="7">
        <v>-266.55700000000002</v>
      </c>
      <c r="E10" s="7">
        <v>-236.39099999999999</v>
      </c>
      <c r="F10" s="7">
        <v>-206.27751999999998</v>
      </c>
      <c r="G10" s="7">
        <v>-303.51587000000001</v>
      </c>
    </row>
    <row r="11" spans="1:15" x14ac:dyDescent="0.35">
      <c r="A11" s="6" t="s">
        <v>18</v>
      </c>
      <c r="B11" s="7">
        <v>-15.913</v>
      </c>
      <c r="C11" s="7">
        <v>-135.95599999999999</v>
      </c>
      <c r="D11" s="7">
        <v>-35.35</v>
      </c>
      <c r="E11" s="7">
        <v>5.6890000000000001</v>
      </c>
      <c r="F11" s="7">
        <v>-56.421589999999995</v>
      </c>
      <c r="G11" s="7">
        <v>-36.737490000000001</v>
      </c>
    </row>
    <row r="12" spans="1:15" x14ac:dyDescent="0.35">
      <c r="A12" s="6" t="s">
        <v>19</v>
      </c>
      <c r="B12" s="7">
        <v>-3.9319999999999999</v>
      </c>
      <c r="C12" s="7">
        <v>-2.3159999999999998</v>
      </c>
      <c r="D12" s="7">
        <v>-3.0680000000000001</v>
      </c>
      <c r="E12" s="7">
        <v>-3.069</v>
      </c>
      <c r="F12" s="7">
        <v>-3.0690599999999999</v>
      </c>
      <c r="G12" s="7">
        <v>-2.3538999999999999</v>
      </c>
    </row>
    <row r="13" spans="1:15" x14ac:dyDescent="0.35">
      <c r="A13" s="8" t="s">
        <v>20</v>
      </c>
      <c r="B13" s="9">
        <v>7721.00641</v>
      </c>
      <c r="C13" s="9">
        <v>9317.3247299999966</v>
      </c>
      <c r="D13" s="9">
        <v>8274.6734899999992</v>
      </c>
      <c r="E13" s="9">
        <v>8114.6497499999996</v>
      </c>
      <c r="F13" s="9">
        <v>10430.783520000001</v>
      </c>
      <c r="G13" s="9">
        <v>9880.531210000001</v>
      </c>
    </row>
    <row r="14" spans="1:15" x14ac:dyDescent="0.35">
      <c r="A14" s="6"/>
      <c r="B14" s="10"/>
      <c r="C14" s="10"/>
      <c r="D14" s="10"/>
      <c r="E14" s="10"/>
      <c r="F14" s="10"/>
      <c r="G14" s="10"/>
    </row>
    <row r="15" spans="1:15" x14ac:dyDescent="0.35">
      <c r="A15" s="6" t="s">
        <v>21</v>
      </c>
      <c r="B15" s="7">
        <v>-1474.1397199999999</v>
      </c>
      <c r="C15" s="7">
        <v>-1409.11528</v>
      </c>
      <c r="D15" s="7">
        <v>-1541.8389999999999</v>
      </c>
      <c r="E15" s="7">
        <v>-1521.846</v>
      </c>
      <c r="F15" s="7">
        <v>-1775.8686499999999</v>
      </c>
      <c r="G15" s="7">
        <v>-1545.16173</v>
      </c>
    </row>
    <row r="16" spans="1:15" x14ac:dyDescent="0.35">
      <c r="A16" s="8" t="s">
        <v>22</v>
      </c>
      <c r="B16" s="9">
        <v>6246.8666899999998</v>
      </c>
      <c r="C16" s="9">
        <v>7908.2094499999967</v>
      </c>
      <c r="D16" s="9">
        <v>6732.8344899999993</v>
      </c>
      <c r="E16" s="9">
        <v>6592.8037499999991</v>
      </c>
      <c r="F16" s="9">
        <v>8654.9148700000005</v>
      </c>
      <c r="G16" s="9">
        <v>8335.3694800000012</v>
      </c>
    </row>
    <row r="19" spans="1:7" x14ac:dyDescent="0.35">
      <c r="A19" s="6" t="s">
        <v>12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</row>
    <row r="20" spans="1:7" x14ac:dyDescent="0.35">
      <c r="A20" s="6" t="s">
        <v>13</v>
      </c>
      <c r="B20" s="7">
        <v>848.60218999999904</v>
      </c>
      <c r="C20" s="7">
        <v>742.120210000003</v>
      </c>
      <c r="D20" s="7">
        <v>1305.2319499999999</v>
      </c>
      <c r="E20" s="7">
        <v>596.07404000000008</v>
      </c>
      <c r="F20" s="7">
        <v>994.98643000000004</v>
      </c>
      <c r="G20" s="7">
        <v>1422.7193300000001</v>
      </c>
    </row>
    <row r="21" spans="1:7" x14ac:dyDescent="0.35">
      <c r="A21" s="8" t="s">
        <v>14</v>
      </c>
      <c r="B21" s="9">
        <v>848.60218999999904</v>
      </c>
      <c r="C21" s="9">
        <v>742.120210000003</v>
      </c>
      <c r="D21" s="9">
        <v>1305.2319499999999</v>
      </c>
      <c r="E21" s="9">
        <v>596.07404000000008</v>
      </c>
      <c r="F21" s="9">
        <v>994.98643000000004</v>
      </c>
      <c r="G21" s="9">
        <v>1422.7193300000001</v>
      </c>
    </row>
    <row r="22" spans="1:7" x14ac:dyDescent="0.35">
      <c r="A22" s="6"/>
      <c r="B22" s="10"/>
      <c r="C22" s="10"/>
      <c r="D22" s="10"/>
      <c r="E22" s="10"/>
      <c r="F22" s="10"/>
      <c r="G22" s="10"/>
    </row>
    <row r="23" spans="1:7" x14ac:dyDescent="0.35">
      <c r="A23" s="6" t="s">
        <v>15</v>
      </c>
      <c r="B23" s="7">
        <v>-614.50699999999995</v>
      </c>
      <c r="C23" s="7">
        <v>-515.61199999999997</v>
      </c>
      <c r="D23" s="7">
        <v>-1006.446</v>
      </c>
      <c r="E23" s="7">
        <v>-403.63499999999999</v>
      </c>
      <c r="F23" s="7">
        <v>-693.27733000000001</v>
      </c>
      <c r="G23" s="7">
        <v>-1021.13849</v>
      </c>
    </row>
    <row r="24" spans="1:7" x14ac:dyDescent="0.35">
      <c r="A24" s="6" t="s">
        <v>16</v>
      </c>
      <c r="B24" s="7">
        <v>-96.527000000000001</v>
      </c>
      <c r="C24" s="7">
        <v>-84.096000000000004</v>
      </c>
      <c r="D24" s="7">
        <v>-126.27800000000001</v>
      </c>
      <c r="E24" s="7">
        <v>-72.456000000000003</v>
      </c>
      <c r="F24" s="7">
        <v>-119.82027000000001</v>
      </c>
      <c r="G24" s="7">
        <v>-162.72017000000002</v>
      </c>
    </row>
    <row r="25" spans="1:7" x14ac:dyDescent="0.35">
      <c r="A25" s="6" t="s">
        <v>17</v>
      </c>
      <c r="B25" s="7">
        <v>-17.812999999999999</v>
      </c>
      <c r="C25" s="7">
        <v>-15.057</v>
      </c>
      <c r="D25" s="7">
        <v>-23.221</v>
      </c>
      <c r="E25" s="7">
        <v>-13.888</v>
      </c>
      <c r="F25" s="7">
        <v>-20.642299999999999</v>
      </c>
      <c r="G25" s="7">
        <v>-28.899459999999998</v>
      </c>
    </row>
    <row r="26" spans="1:7" x14ac:dyDescent="0.35">
      <c r="A26" s="6" t="s">
        <v>18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</row>
    <row r="27" spans="1:7" x14ac:dyDescent="0.35">
      <c r="A27" s="6" t="s">
        <v>19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</row>
    <row r="28" spans="1:7" x14ac:dyDescent="0.35">
      <c r="A28" s="8" t="s">
        <v>20</v>
      </c>
      <c r="B28" s="9">
        <v>119.7551899999991</v>
      </c>
      <c r="C28" s="9">
        <v>127.35521000000303</v>
      </c>
      <c r="D28" s="9">
        <v>149.28694999999982</v>
      </c>
      <c r="E28" s="9">
        <v>106.09504000000008</v>
      </c>
      <c r="F28" s="9">
        <v>161.24653000000004</v>
      </c>
      <c r="G28" s="9">
        <v>209.96121000000005</v>
      </c>
    </row>
    <row r="29" spans="1:7" x14ac:dyDescent="0.35">
      <c r="A29" s="6"/>
      <c r="B29" s="10"/>
      <c r="C29" s="10"/>
      <c r="D29" s="10"/>
      <c r="E29" s="10"/>
      <c r="F29" s="10"/>
      <c r="G29" s="10"/>
    </row>
    <row r="30" spans="1:7" x14ac:dyDescent="0.35">
      <c r="A30" s="6" t="s">
        <v>21</v>
      </c>
      <c r="B30" s="7">
        <v>-111.271</v>
      </c>
      <c r="C30" s="7">
        <v>-119.93300000000001</v>
      </c>
      <c r="D30" s="7">
        <v>-136.23400000000001</v>
      </c>
      <c r="E30" s="7">
        <v>-100.133</v>
      </c>
      <c r="F30" s="7">
        <v>-151.29817</v>
      </c>
      <c r="G30" s="7">
        <v>-195.73426000000001</v>
      </c>
    </row>
    <row r="31" spans="1:7" x14ac:dyDescent="0.35">
      <c r="A31" s="8" t="s">
        <v>22</v>
      </c>
      <c r="B31" s="9">
        <v>8.4841899999991028</v>
      </c>
      <c r="C31" s="9">
        <v>7.4222100000030196</v>
      </c>
      <c r="D31" s="9">
        <v>13.052949999999811</v>
      </c>
      <c r="E31" s="9">
        <v>5.962040000000087</v>
      </c>
      <c r="F31" s="9">
        <v>9.9483600000000365</v>
      </c>
      <c r="G31" s="9">
        <v>14.226950000000045</v>
      </c>
    </row>
    <row r="34" spans="1:7" x14ac:dyDescent="0.35">
      <c r="A34" s="11" t="s">
        <v>23</v>
      </c>
      <c r="B34" s="11"/>
      <c r="C34" s="11"/>
      <c r="D34" s="12" t="s">
        <v>24</v>
      </c>
      <c r="G34" s="12" t="s">
        <v>24</v>
      </c>
    </row>
    <row r="35" spans="1:7" x14ac:dyDescent="0.35">
      <c r="A35" s="13" t="s">
        <v>25</v>
      </c>
      <c r="B35" s="13"/>
      <c r="C35" s="14">
        <v>21</v>
      </c>
      <c r="D35" s="14">
        <v>19</v>
      </c>
      <c r="E35" s="14">
        <v>20</v>
      </c>
      <c r="F35" s="14">
        <v>22</v>
      </c>
      <c r="G35" s="14">
        <v>21</v>
      </c>
    </row>
    <row r="36" spans="1:7" x14ac:dyDescent="0.35">
      <c r="A36" s="13"/>
      <c r="B36" s="15" t="s">
        <v>26</v>
      </c>
      <c r="C36" s="15" t="s">
        <v>26</v>
      </c>
      <c r="D36" s="15" t="s">
        <v>26</v>
      </c>
      <c r="E36" s="15" t="s">
        <v>26</v>
      </c>
      <c r="F36" s="15" t="s">
        <v>26</v>
      </c>
      <c r="G36" s="15" t="s">
        <v>26</v>
      </c>
    </row>
    <row r="37" spans="1:7" x14ac:dyDescent="0.35">
      <c r="A37" s="13" t="s">
        <v>27</v>
      </c>
      <c r="B37" s="16">
        <v>803.25152000000003</v>
      </c>
      <c r="C37" s="16">
        <v>780.24407999999994</v>
      </c>
      <c r="D37" s="16">
        <v>798.09156000000007</v>
      </c>
      <c r="E37" s="16">
        <v>816.68444</v>
      </c>
      <c r="F37" s="16">
        <v>898.4353000000001</v>
      </c>
      <c r="G37" s="16">
        <v>827.95179000000007</v>
      </c>
    </row>
    <row r="38" spans="1:7" x14ac:dyDescent="0.35">
      <c r="A38" s="13" t="s">
        <v>28</v>
      </c>
      <c r="B38" s="16">
        <v>89.058279999999996</v>
      </c>
      <c r="C38" s="16">
        <v>77.416060000000002</v>
      </c>
      <c r="D38" s="16">
        <v>73.122630000000001</v>
      </c>
      <c r="E38" s="16">
        <v>70.648030000000006</v>
      </c>
      <c r="F38" s="16">
        <v>85.320970000000003</v>
      </c>
      <c r="G38" s="16">
        <v>61.241039999999998</v>
      </c>
    </row>
    <row r="39" spans="1:7" x14ac:dyDescent="0.35">
      <c r="A39" s="17" t="s">
        <v>29</v>
      </c>
      <c r="B39" s="18">
        <v>892.3098</v>
      </c>
      <c r="C39" s="18">
        <v>857.66013999999996</v>
      </c>
      <c r="D39" s="18">
        <v>871.21419000000003</v>
      </c>
      <c r="E39" s="18">
        <v>887.33247000000006</v>
      </c>
      <c r="F39" s="18">
        <v>983.75627000000009</v>
      </c>
      <c r="G39" s="18">
        <v>889.19283000000007</v>
      </c>
    </row>
    <row r="40" spans="1:7" x14ac:dyDescent="0.35">
      <c r="B40" s="19"/>
      <c r="C40" s="19"/>
      <c r="D40" s="19"/>
      <c r="E40" s="19"/>
      <c r="F40" s="19"/>
      <c r="G40" s="19"/>
    </row>
    <row r="41" spans="1:7" x14ac:dyDescent="0.35">
      <c r="A41" s="13" t="s">
        <v>30</v>
      </c>
      <c r="B41" s="16">
        <v>214.15888000000001</v>
      </c>
      <c r="C41" s="16">
        <v>184.03928999999999</v>
      </c>
      <c r="D41" s="16">
        <v>203.75942999999998</v>
      </c>
      <c r="E41" s="16">
        <v>211.00903</v>
      </c>
      <c r="F41" s="16">
        <v>231.73455999999999</v>
      </c>
      <c r="G41" s="16">
        <v>189.71137999999999</v>
      </c>
    </row>
    <row r="42" spans="1:7" x14ac:dyDescent="0.35">
      <c r="A42" s="13" t="s">
        <v>28</v>
      </c>
      <c r="B42" s="16">
        <v>18.994430000000001</v>
      </c>
      <c r="C42" s="16">
        <v>16.680220000000002</v>
      </c>
      <c r="D42" s="16">
        <v>14.77097</v>
      </c>
      <c r="E42" s="16">
        <v>16.316179999999999</v>
      </c>
      <c r="F42" s="16">
        <v>17.760669999999998</v>
      </c>
      <c r="G42" s="16">
        <v>12.56035</v>
      </c>
    </row>
    <row r="43" spans="1:7" x14ac:dyDescent="0.35">
      <c r="A43" s="13" t="s">
        <v>31</v>
      </c>
      <c r="B43" s="16">
        <v>12.807690000000001</v>
      </c>
      <c r="C43" s="16">
        <v>21.225519999999999</v>
      </c>
      <c r="D43" s="16">
        <v>35.888800000000003</v>
      </c>
      <c r="E43" s="16">
        <v>19.856069999999999</v>
      </c>
      <c r="F43" s="16">
        <v>8.11632</v>
      </c>
      <c r="G43" s="16">
        <v>3.75665</v>
      </c>
    </row>
    <row r="44" spans="1:7" x14ac:dyDescent="0.35">
      <c r="A44" s="13" t="s">
        <v>32</v>
      </c>
      <c r="B44" s="16">
        <v>52.133669999999995</v>
      </c>
      <c r="C44" s="16">
        <v>60.345829999999999</v>
      </c>
      <c r="D44" s="16">
        <v>62.495719999999999</v>
      </c>
      <c r="E44" s="16">
        <v>60.196769999999994</v>
      </c>
      <c r="F44" s="16">
        <v>65.7864</v>
      </c>
      <c r="G44" s="16">
        <v>63.04269</v>
      </c>
    </row>
    <row r="45" spans="1:7" x14ac:dyDescent="0.35">
      <c r="A45" s="13" t="s">
        <v>33</v>
      </c>
      <c r="B45" s="16">
        <v>410.60199</v>
      </c>
      <c r="C45" s="20">
        <v>432.42309</v>
      </c>
      <c r="D45" s="20">
        <v>404.46370000000002</v>
      </c>
      <c r="E45" s="20">
        <v>427.00215999999995</v>
      </c>
      <c r="F45" s="20">
        <v>446.43263999999999</v>
      </c>
      <c r="G45" s="20">
        <v>420.27922999999998</v>
      </c>
    </row>
    <row r="46" spans="1:7" x14ac:dyDescent="0.35">
      <c r="A46" s="17" t="s">
        <v>34</v>
      </c>
      <c r="B46" s="16">
        <v>708.69666000000007</v>
      </c>
      <c r="C46" s="16">
        <v>714.71394999999995</v>
      </c>
      <c r="D46" s="16">
        <v>721.37861999999996</v>
      </c>
      <c r="E46" s="16">
        <v>734.38020999999992</v>
      </c>
      <c r="F46" s="16">
        <v>769.83059000000003</v>
      </c>
      <c r="G46" s="16">
        <v>689.35030000000006</v>
      </c>
    </row>
    <row r="47" spans="1:7" x14ac:dyDescent="0.35">
      <c r="A47" s="13"/>
      <c r="B47" s="16"/>
      <c r="C47" s="16"/>
      <c r="D47" s="16"/>
      <c r="E47" s="16"/>
      <c r="F47" s="16"/>
    </row>
    <row r="48" spans="1:7" x14ac:dyDescent="0.35">
      <c r="A48" s="21" t="s">
        <v>35</v>
      </c>
      <c r="B48" s="22">
        <v>1601.0064600000001</v>
      </c>
      <c r="C48" s="22">
        <v>1572.3740899999998</v>
      </c>
      <c r="D48" s="22">
        <v>1592.5928100000001</v>
      </c>
      <c r="E48" s="22">
        <v>1621.7126800000001</v>
      </c>
      <c r="F48" s="22">
        <v>1753.5868600000001</v>
      </c>
      <c r="G48" s="22">
        <v>1578.54313</v>
      </c>
    </row>
    <row r="49" spans="1:15" x14ac:dyDescent="0.35">
      <c r="A49" s="13"/>
      <c r="B49" s="16"/>
      <c r="C49" s="16"/>
      <c r="D49" s="16"/>
      <c r="E49" s="16"/>
      <c r="F49" s="16"/>
      <c r="G49" s="16"/>
    </row>
    <row r="50" spans="1:15" x14ac:dyDescent="0.35">
      <c r="A50" s="13" t="s">
        <v>36</v>
      </c>
      <c r="B50" s="16"/>
      <c r="C50" s="16"/>
      <c r="D50" s="16"/>
      <c r="E50" s="16"/>
      <c r="F50" s="16"/>
      <c r="G50" s="16"/>
    </row>
    <row r="51" spans="1:15" x14ac:dyDescent="0.35">
      <c r="A51" s="23" t="s">
        <v>37</v>
      </c>
      <c r="B51" s="16">
        <v>139.19923</v>
      </c>
      <c r="C51" s="16">
        <v>167.92025000000001</v>
      </c>
      <c r="D51" s="16">
        <v>144.08542</v>
      </c>
      <c r="E51" s="16">
        <v>147.19349</v>
      </c>
      <c r="F51" s="16">
        <v>165.67760000000001</v>
      </c>
      <c r="G51" s="16">
        <v>150.14717999999999</v>
      </c>
    </row>
    <row r="52" spans="1:15" x14ac:dyDescent="0.35">
      <c r="A52" s="23" t="s">
        <v>38</v>
      </c>
      <c r="B52" s="16">
        <v>533.05045999999993</v>
      </c>
      <c r="C52" s="16">
        <v>592.14483999999993</v>
      </c>
      <c r="D52" s="16">
        <v>502.93215000000004</v>
      </c>
      <c r="E52" s="16">
        <v>532.58220999999992</v>
      </c>
      <c r="F52" s="16">
        <v>592.33274000000108</v>
      </c>
      <c r="G52" s="16">
        <v>573.69299999999896</v>
      </c>
    </row>
    <row r="53" spans="1:15" x14ac:dyDescent="0.35">
      <c r="A53" s="23" t="s">
        <v>39</v>
      </c>
      <c r="B53" s="16">
        <v>161.35457</v>
      </c>
      <c r="C53" s="16">
        <v>177.64051000000001</v>
      </c>
      <c r="D53" s="16">
        <v>147.54266000000001</v>
      </c>
      <c r="E53" s="16">
        <v>154.37039999999999</v>
      </c>
      <c r="F53" s="16">
        <v>171.19766000000001</v>
      </c>
      <c r="G53" s="16">
        <v>163.08797000000001</v>
      </c>
    </row>
    <row r="54" spans="1:15" x14ac:dyDescent="0.35">
      <c r="A54" s="23" t="s">
        <v>40</v>
      </c>
      <c r="B54" s="16">
        <v>157.60192999999998</v>
      </c>
      <c r="C54" s="16">
        <v>158.66279999999998</v>
      </c>
      <c r="D54" s="16">
        <v>155.37249</v>
      </c>
      <c r="E54" s="16">
        <v>163.47147000000001</v>
      </c>
      <c r="F54" s="16">
        <v>179.82185999999999</v>
      </c>
      <c r="G54" s="16">
        <v>173.8339</v>
      </c>
    </row>
    <row r="55" spans="1:15" x14ac:dyDescent="0.35">
      <c r="A55" s="24" t="s">
        <v>41</v>
      </c>
      <c r="B55" s="22">
        <v>991.20618999999988</v>
      </c>
      <c r="C55" s="22">
        <v>1096.3684000000001</v>
      </c>
      <c r="D55" s="22">
        <v>949.93272000000002</v>
      </c>
      <c r="E55" s="22">
        <v>997.61756999999989</v>
      </c>
      <c r="F55" s="22">
        <v>1109.029860000001</v>
      </c>
      <c r="G55" s="22">
        <v>1060.7620499999991</v>
      </c>
    </row>
    <row r="56" spans="1:15" x14ac:dyDescent="0.35">
      <c r="A56" s="13"/>
      <c r="B56" s="16"/>
      <c r="C56" s="16"/>
      <c r="D56" s="16"/>
      <c r="E56" s="16"/>
      <c r="F56" s="16"/>
      <c r="G56" s="16"/>
    </row>
    <row r="57" spans="1:15" x14ac:dyDescent="0.35">
      <c r="A57" s="21" t="s">
        <v>42</v>
      </c>
      <c r="B57" s="16">
        <v>2592.2126499999999</v>
      </c>
      <c r="C57" s="16">
        <v>2668.7424899999996</v>
      </c>
      <c r="D57" s="16">
        <v>2542.5255299999999</v>
      </c>
      <c r="E57" s="16">
        <v>2619.33025</v>
      </c>
      <c r="F57" s="16">
        <v>2862.6167200000009</v>
      </c>
      <c r="G57" s="16">
        <v>2639.3051799999994</v>
      </c>
    </row>
    <row r="60" spans="1:15" x14ac:dyDescent="0.35">
      <c r="B60" s="1" t="s">
        <v>10</v>
      </c>
      <c r="C60" s="1" t="s">
        <v>11</v>
      </c>
      <c r="D60" s="1" t="s">
        <v>0</v>
      </c>
      <c r="E60" s="1" t="s">
        <v>1</v>
      </c>
      <c r="F60" s="1" t="s">
        <v>2</v>
      </c>
      <c r="G60" s="1" t="s">
        <v>3</v>
      </c>
      <c r="H60" s="1" t="s">
        <v>4</v>
      </c>
      <c r="I60" s="1" t="s">
        <v>5</v>
      </c>
      <c r="J60" s="1" t="s">
        <v>6</v>
      </c>
      <c r="K60" s="1" t="s">
        <v>7</v>
      </c>
      <c r="L60" s="1" t="s">
        <v>8</v>
      </c>
      <c r="M60" s="1" t="s">
        <v>9</v>
      </c>
      <c r="N60" s="1" t="s">
        <v>10</v>
      </c>
      <c r="O60" s="1" t="s">
        <v>11</v>
      </c>
    </row>
    <row r="62" spans="1:15" x14ac:dyDescent="0.35">
      <c r="A62" t="s">
        <v>43</v>
      </c>
      <c r="B62" s="25">
        <f t="shared" ref="B62:C62" si="0">B6+B21</f>
        <v>13584.579809999999</v>
      </c>
      <c r="C62" s="25">
        <f t="shared" si="0"/>
        <v>16625.428730000003</v>
      </c>
      <c r="D62" s="25">
        <f>D6+D21</f>
        <v>14908.881439999999</v>
      </c>
      <c r="E62" s="25">
        <f t="shared" ref="E62:G62" si="1">E6+E21</f>
        <v>14098.783789999998</v>
      </c>
      <c r="F62" s="25">
        <f t="shared" si="1"/>
        <v>18205.79766</v>
      </c>
      <c r="G62" s="25">
        <f t="shared" si="1"/>
        <v>17867.39631</v>
      </c>
    </row>
    <row r="64" spans="1:15" x14ac:dyDescent="0.35">
      <c r="A64" t="s">
        <v>44</v>
      </c>
      <c r="B64" s="25">
        <f t="shared" ref="B64:C64" si="2">B8+B23</f>
        <v>-4271.8497499999994</v>
      </c>
      <c r="C64" s="25">
        <f t="shared" si="2"/>
        <v>-5133.2852499999999</v>
      </c>
      <c r="D64" s="25">
        <f>D8+D23</f>
        <v>-4697.41</v>
      </c>
      <c r="E64" s="25">
        <f t="shared" ref="E64:G64" si="3">E8+E23</f>
        <v>-4144.7380000000003</v>
      </c>
      <c r="F64" s="25">
        <f t="shared" si="3"/>
        <v>-5613.6375799999996</v>
      </c>
      <c r="G64" s="25">
        <f t="shared" si="3"/>
        <v>-5708.9160000000002</v>
      </c>
    </row>
    <row r="65" spans="1:7" x14ac:dyDescent="0.35">
      <c r="A65" t="s">
        <v>45</v>
      </c>
      <c r="B65" s="26">
        <f t="shared" ref="B65:C65" si="4">SUM(B39:B44)</f>
        <v>1190.4044699999999</v>
      </c>
      <c r="C65" s="26">
        <f t="shared" si="4"/>
        <v>1139.9509999999998</v>
      </c>
      <c r="D65" s="26">
        <f>SUM(D39:D44)</f>
        <v>1188.1291099999999</v>
      </c>
      <c r="E65" s="26">
        <f t="shared" ref="E65:G65" si="5">SUM(E39:E44)</f>
        <v>1194.7105200000001</v>
      </c>
      <c r="F65" s="26">
        <f t="shared" si="5"/>
        <v>1307.1542200000001</v>
      </c>
      <c r="G65" s="26">
        <f t="shared" si="5"/>
        <v>1158.2639000000001</v>
      </c>
    </row>
    <row r="66" spans="1:7" x14ac:dyDescent="0.35">
      <c r="B66" s="26"/>
      <c r="C66" s="26"/>
      <c r="D66" s="26"/>
      <c r="E66" s="26"/>
      <c r="F66" s="26"/>
      <c r="G66" s="26"/>
    </row>
    <row r="67" spans="1:7" x14ac:dyDescent="0.35">
      <c r="B67" s="27">
        <v>42309</v>
      </c>
      <c r="C67" s="27">
        <v>42339</v>
      </c>
      <c r="D67" s="27">
        <v>42370</v>
      </c>
      <c r="E67" s="27">
        <v>42401</v>
      </c>
      <c r="F67" s="27">
        <v>42430</v>
      </c>
      <c r="G67" s="27">
        <v>42461</v>
      </c>
    </row>
    <row r="68" spans="1:7" x14ac:dyDescent="0.35">
      <c r="A68" s="5" t="s">
        <v>46</v>
      </c>
      <c r="B68" s="2">
        <f t="shared" ref="B68:C68" si="6">(B62+B64)/B65</f>
        <v>7.8231645585134606</v>
      </c>
      <c r="C68" s="2">
        <f t="shared" si="6"/>
        <v>10.081260931390915</v>
      </c>
      <c r="D68" s="2">
        <f>(D62+D64)/D65</f>
        <v>8.5945806344228028</v>
      </c>
      <c r="E68" s="2">
        <f t="shared" ref="E68:G68" si="7">(E62+E64)/E65</f>
        <v>8.331763739721648</v>
      </c>
      <c r="F68" s="2">
        <f t="shared" si="7"/>
        <v>9.6332627683365466</v>
      </c>
      <c r="G68" s="2">
        <f t="shared" si="7"/>
        <v>10.497158989415105</v>
      </c>
    </row>
    <row r="69" spans="1:7" x14ac:dyDescent="0.35">
      <c r="A69" t="s">
        <v>113</v>
      </c>
      <c r="B69" s="3">
        <f>AVERAGE(B68:D68)</f>
        <v>8.8330020414423931</v>
      </c>
      <c r="C69" s="3">
        <f>B69</f>
        <v>8.8330020414423931</v>
      </c>
      <c r="D69" s="3">
        <f t="shared" ref="D69:G69" si="8">C69</f>
        <v>8.8330020414423931</v>
      </c>
      <c r="E69" s="3">
        <f t="shared" si="8"/>
        <v>8.8330020414423931</v>
      </c>
      <c r="F69" s="3">
        <f t="shared" si="8"/>
        <v>8.8330020414423931</v>
      </c>
      <c r="G69" s="3">
        <f t="shared" si="8"/>
        <v>8.8330020414423931</v>
      </c>
    </row>
    <row r="70" spans="1:7" x14ac:dyDescent="0.35">
      <c r="A70" t="s">
        <v>105</v>
      </c>
      <c r="B70" s="4">
        <f t="shared" ref="B70" si="9">B68/B69-1</f>
        <v>-0.1143255122314033</v>
      </c>
      <c r="C70" s="4">
        <f>SUM($B68:C68)/SUM($B69:C69)-1</f>
        <v>1.3496057506891423E-2</v>
      </c>
      <c r="D70" s="4">
        <f>SUM($B68:D68)/SUM($B69:D69)-1</f>
        <v>0</v>
      </c>
      <c r="E70" s="4">
        <f>SUM($B68:E68)/SUM($B69:E69)-1</f>
        <v>-1.4186521733184465E-2</v>
      </c>
      <c r="F70" s="4">
        <f>SUM($B68:F68)/SUM($B69:F69)-1</f>
        <v>6.770572989125867E-3</v>
      </c>
      <c r="G70" s="4">
        <f>SUM($B68:G68)/SUM($B69:G69)-1</f>
        <v>3.7042509517816402E-2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PC% - AEH</vt:lpstr>
      <vt:lpstr>Ameristar Prod Measure</vt:lpstr>
      <vt:lpstr>Sheet1</vt:lpstr>
      <vt:lpstr>2017 Ameristar Prod Measure</vt:lpstr>
      <vt:lpstr>PC% - AAG</vt:lpstr>
      <vt:lpstr>PC$- AEH</vt:lpstr>
      <vt:lpstr>PC$- SAR</vt:lpstr>
      <vt:lpstr>PC$ - Belin</vt:lpstr>
      <vt:lpstr>PC$ - AAG</vt:lpstr>
      <vt:lpstr>No Std Cost</vt:lpstr>
      <vt:lpstr>'2017 Ameristar Prod Measure'!Print_Area</vt:lpstr>
      <vt:lpstr>'Ameristar Prod Measure'!Print_Area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Hafersat, Richard</dc:creator>
  <cp:lastModifiedBy>Burns, Sean</cp:lastModifiedBy>
  <cp:lastPrinted>2017-11-07T18:38:12Z</cp:lastPrinted>
  <dcterms:created xsi:type="dcterms:W3CDTF">2016-05-11T11:25:14Z</dcterms:created>
  <dcterms:modified xsi:type="dcterms:W3CDTF">2018-09-18T02:26:55Z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